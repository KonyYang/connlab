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B2207F36-8227-426B-9BDE-7616477F7818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Group 1" sheetId="7" r:id="rId1"/>
    <sheet name="Group 2" sheetId="4" r:id="rId2"/>
    <sheet name="Group 3" sheetId="6" r:id="rId3"/>
  </sheets>
  <calcPr calcId="181029"/>
</workbook>
</file>

<file path=xl/calcChain.xml><?xml version="1.0" encoding="utf-8"?>
<calcChain xmlns="http://schemas.openxmlformats.org/spreadsheetml/2006/main">
  <c r="U37" i="7" l="1"/>
  <c r="H37" i="7"/>
  <c r="U36" i="7"/>
  <c r="H36" i="7"/>
  <c r="U35" i="7"/>
  <c r="H35" i="7"/>
  <c r="U34" i="7"/>
  <c r="H34" i="7"/>
  <c r="U37" i="6"/>
  <c r="H37" i="6"/>
  <c r="U36" i="6"/>
  <c r="H36" i="6"/>
  <c r="U35" i="6"/>
  <c r="H35" i="6"/>
  <c r="U34" i="6"/>
  <c r="H34" i="6"/>
  <c r="U37" i="4"/>
  <c r="H37" i="4"/>
  <c r="U36" i="4"/>
  <c r="H36" i="4"/>
  <c r="U35" i="4"/>
  <c r="H35" i="4"/>
  <c r="U34" i="4"/>
  <c r="H34" i="4"/>
</calcChain>
</file>

<file path=xl/sharedStrings.xml><?xml version="1.0" encoding="utf-8"?>
<sst xmlns="http://schemas.openxmlformats.org/spreadsheetml/2006/main" count="468" uniqueCount="83">
  <si>
    <t>AP Product Test Laboratory</t>
  </si>
  <si>
    <t>Equipment Used</t>
  </si>
  <si>
    <t>Instrument</t>
  </si>
  <si>
    <t>Gage ID</t>
  </si>
  <si>
    <t>Last Cal.</t>
    <phoneticPr fontId="2" type="noConversion"/>
  </si>
  <si>
    <t>Cal Due.</t>
    <phoneticPr fontId="2" type="noConversion"/>
  </si>
  <si>
    <t>Eleactrical Safety Compliance Analyzer</t>
    <phoneticPr fontId="2" type="noConversion"/>
  </si>
  <si>
    <t>DG-Q-0624</t>
    <phoneticPr fontId="2" type="noConversion"/>
  </si>
  <si>
    <t>Test/Test Condition</t>
  </si>
  <si>
    <t>UNITS</t>
  </si>
  <si>
    <t>SAMPLE ID      
 +&amp;-</t>
    <phoneticPr fontId="2" type="noConversion"/>
  </si>
  <si>
    <t>Max</t>
    <phoneticPr fontId="1" type="noConversion"/>
  </si>
  <si>
    <t>Min</t>
    <phoneticPr fontId="1" type="noConversion"/>
  </si>
  <si>
    <t>Average</t>
    <phoneticPr fontId="1" type="noConversion"/>
  </si>
  <si>
    <t>Stdev</t>
    <phoneticPr fontId="1" type="noConversion"/>
  </si>
  <si>
    <t>Approved By:Gentle Zeng</t>
    <phoneticPr fontId="1" type="noConversion"/>
  </si>
  <si>
    <t>Amphenol ICC</t>
    <phoneticPr fontId="2" type="noConversion"/>
  </si>
  <si>
    <t>Nanwei, Qisha,</t>
    <phoneticPr fontId="2" type="noConversion"/>
  </si>
  <si>
    <t xml:space="preserve"> Shatian Town,</t>
    <phoneticPr fontId="2" type="noConversion"/>
  </si>
  <si>
    <t xml:space="preserve"> Dongguan City,</t>
    <phoneticPr fontId="2" type="noConversion"/>
  </si>
  <si>
    <t xml:space="preserve">Guangdong, PRC </t>
    <phoneticPr fontId="2" type="noConversion"/>
  </si>
  <si>
    <t>此表为DGLAB-LNP-11之附件</t>
  </si>
  <si>
    <t xml:space="preserve"> </t>
    <phoneticPr fontId="1" type="noConversion"/>
  </si>
  <si>
    <t>Form No:</t>
    <phoneticPr fontId="2" type="noConversion"/>
  </si>
  <si>
    <t>FDQF-E-033</t>
    <phoneticPr fontId="2" type="noConversion"/>
  </si>
  <si>
    <t>Rev:</t>
    <phoneticPr fontId="2" type="noConversion"/>
  </si>
  <si>
    <t>G</t>
  </si>
  <si>
    <t>/</t>
    <phoneticPr fontId="1" type="noConversion"/>
  </si>
  <si>
    <t>nA</t>
    <phoneticPr fontId="1" type="noConversion"/>
  </si>
  <si>
    <t>&gt;290</t>
    <phoneticPr fontId="1" type="noConversion"/>
  </si>
  <si>
    <t>Item/Process: Group 2  IR&amp;DWV-Initial</t>
    <phoneticPr fontId="1" type="noConversion"/>
  </si>
  <si>
    <t>Tested By: Even Yang</t>
  </si>
  <si>
    <t>1. IR testing/  1# 500VDC 2min. mated</t>
  </si>
  <si>
    <t>2. IR testing/  2# 500VDC 2min. Mated</t>
  </si>
  <si>
    <t>3. IR testing/  3# 500VDC 2min. Mated</t>
  </si>
  <si>
    <t>4. IR testing/  4# 500VDC 2min. Mated</t>
  </si>
  <si>
    <t>5. IR testing/  5# 500VDC 2min. Mated</t>
  </si>
  <si>
    <t>GΩ</t>
    <phoneticPr fontId="1" type="noConversion"/>
  </si>
  <si>
    <t>Amb Temp: 25°C</t>
    <phoneticPr fontId="2" type="noConversion"/>
  </si>
  <si>
    <t>Checked By:Peter Qiu</t>
    <phoneticPr fontId="1" type="noConversion"/>
  </si>
  <si>
    <t>1#</t>
    <phoneticPr fontId="2" type="noConversion"/>
  </si>
  <si>
    <t>2#</t>
  </si>
  <si>
    <t>3#</t>
  </si>
  <si>
    <t>4#</t>
  </si>
  <si>
    <t>5#</t>
  </si>
  <si>
    <t>Amb Temp: 26.3°C</t>
    <phoneticPr fontId="2" type="noConversion"/>
  </si>
  <si>
    <t>Item/Process: Group 2  IR&amp;DWV-after reseating</t>
    <phoneticPr fontId="1" type="noConversion"/>
  </si>
  <si>
    <t>Rel. Hum.:46.9%RH</t>
    <phoneticPr fontId="2" type="noConversion"/>
  </si>
  <si>
    <t>1. IR testing/  1# 500VDC 2min. mated</t>
    <phoneticPr fontId="1" type="noConversion"/>
  </si>
  <si>
    <t>Start Date:2026/07/31</t>
    <phoneticPr fontId="2" type="noConversion"/>
  </si>
  <si>
    <t>Finish Date: 2026/07/31</t>
    <phoneticPr fontId="2" type="noConversion"/>
  </si>
  <si>
    <t>Item/Process: Group 3  IR&amp;DWV-Initial</t>
    <phoneticPr fontId="1" type="noConversion"/>
  </si>
  <si>
    <t>Rel. Hum.:46.5%RH</t>
    <phoneticPr fontId="2" type="noConversion"/>
  </si>
  <si>
    <t>Amb Temp: 25°C</t>
    <phoneticPr fontId="2" type="noConversion"/>
  </si>
  <si>
    <t>Start Date:2026/07/31</t>
    <phoneticPr fontId="2" type="noConversion"/>
  </si>
  <si>
    <t>Start Date:2026/08/18</t>
    <phoneticPr fontId="2" type="noConversion"/>
  </si>
  <si>
    <t>Finish Date: 2026/08/18</t>
    <phoneticPr fontId="2" type="noConversion"/>
  </si>
  <si>
    <t>Amb Temp: 25.7°C</t>
    <phoneticPr fontId="2" type="noConversion"/>
  </si>
  <si>
    <t>Rel. Hum.:48.5%RH</t>
    <phoneticPr fontId="2" type="noConversion"/>
  </si>
  <si>
    <t>Request  No.:  DL-2026-07-115</t>
    <phoneticPr fontId="1" type="noConversion"/>
  </si>
  <si>
    <t>Request  No.:   DL-2026-07-115</t>
    <phoneticPr fontId="1" type="noConversion"/>
  </si>
  <si>
    <t>Item/Process: Group 1  IR&amp;DWV-Initial</t>
    <phoneticPr fontId="1" type="noConversion"/>
  </si>
  <si>
    <t>Remarks:</t>
    <phoneticPr fontId="2" type="noConversion"/>
  </si>
  <si>
    <t>Product Name: Custom Pwr 14P VH</t>
    <phoneticPr fontId="2" type="noConversion"/>
  </si>
  <si>
    <t>Requestor:David Tao</t>
    <phoneticPr fontId="2" type="noConversion"/>
  </si>
  <si>
    <t>Odd&amp;Even</t>
    <phoneticPr fontId="1" type="noConversion"/>
  </si>
  <si>
    <t>Amb Temp: 24.6°C</t>
    <phoneticPr fontId="2" type="noConversion"/>
  </si>
  <si>
    <t>Rel. Hum.:45.7%RH</t>
    <phoneticPr fontId="2" type="noConversion"/>
  </si>
  <si>
    <t>Start Date:2026/08/24</t>
    <phoneticPr fontId="2" type="noConversion"/>
  </si>
  <si>
    <t>Finish Date: 2026/08/24</t>
    <phoneticPr fontId="2" type="noConversion"/>
  </si>
  <si>
    <t>Start Date:2026/08/13</t>
    <phoneticPr fontId="2" type="noConversion"/>
  </si>
  <si>
    <t>Finish Date: 2026/08/13</t>
    <phoneticPr fontId="2" type="noConversion"/>
  </si>
  <si>
    <t>Item/Process: Group 2  IR&amp;DWV-after Humidity&amp;Temp. cycling</t>
    <phoneticPr fontId="1" type="noConversion"/>
  </si>
  <si>
    <t>Item/Process: Group 3  IR&amp;DWV-after reseating</t>
    <phoneticPr fontId="1" type="noConversion"/>
  </si>
  <si>
    <t>Start Date:2026/08/26</t>
    <phoneticPr fontId="2" type="noConversion"/>
  </si>
  <si>
    <t>Finish Date: 2026/08/26</t>
    <phoneticPr fontId="2" type="noConversion"/>
  </si>
  <si>
    <t>Amb Temp: 24.3°C</t>
    <phoneticPr fontId="2" type="noConversion"/>
  </si>
  <si>
    <t>Rel. Hum.:49%RH</t>
    <phoneticPr fontId="2" type="noConversion"/>
  </si>
  <si>
    <t>6. DWV testing/  1# 1500VDC 1min. Mated</t>
  </si>
  <si>
    <t>7. DWV testing/  2# 1500VDC 1min. Mated</t>
  </si>
  <si>
    <t>8. DWV testing/  3# 1500VDC 1min. Mated</t>
  </si>
  <si>
    <t>9. DWV testing/  4# 1500VDC 1min. Mated</t>
  </si>
  <si>
    <t>10. DWV testing/  5# 1500VDC 1min. 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</si>
</sst>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9]dd\-mmm\-yy;@"/>
    <numFmt numFmtId="177" formatCode="[$-409]mmm\-yy;@"/>
    <numFmt numFmtId="178" formatCode="0.000"/>
    <numFmt numFmtId="179" formatCode="0.0_);[Red]\(0.0\)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7"/>
      <name val="Arial"/>
      <family val="2"/>
    </font>
    <font>
      <b/>
      <sz val="18"/>
      <name val="Arial"/>
      <family val="2"/>
    </font>
    <font>
      <b/>
      <vertAlign val="superscript"/>
      <sz val="17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gray0625">
        <b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06">
    <xf numFmtId="0" fontId="0" fillId="0" borderId="0" xfId="0">
      <alignment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76" fontId="4" fillId="0" borderId="12" xfId="1" applyNumberFormat="1" applyFont="1" applyBorder="1" applyAlignment="1">
      <alignment horizontal="center" vertical="center"/>
    </xf>
    <xf numFmtId="176" fontId="4" fillId="0" borderId="13" xfId="1" applyNumberFormat="1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177" fontId="4" fillId="0" borderId="15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77" fontId="4" fillId="0" borderId="24" xfId="1" applyNumberFormat="1" applyFont="1" applyBorder="1" applyAlignment="1">
      <alignment horizontal="center" vertical="center"/>
    </xf>
    <xf numFmtId="177" fontId="4" fillId="0" borderId="25" xfId="1" applyNumberFormat="1" applyFont="1" applyBorder="1" applyAlignment="1">
      <alignment horizontal="center" vertical="center"/>
    </xf>
    <xf numFmtId="0" fontId="4" fillId="2" borderId="28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1" fontId="4" fillId="0" borderId="14" xfId="1" applyNumberFormat="1" applyFont="1" applyBorder="1" applyAlignment="1">
      <alignment horizontal="center" vertical="center"/>
    </xf>
    <xf numFmtId="1" fontId="4" fillId="0" borderId="36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79" fontId="4" fillId="0" borderId="1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8" xfId="1" applyFont="1" applyBorder="1" applyAlignment="1">
      <alignment vertical="center"/>
    </xf>
    <xf numFmtId="0" fontId="4" fillId="0" borderId="29" xfId="1" applyFont="1" applyBorder="1" applyAlignment="1">
      <alignment vertical="center"/>
    </xf>
    <xf numFmtId="0" fontId="4" fillId="0" borderId="30" xfId="1" applyFont="1" applyBorder="1" applyAlignment="1">
      <alignment vertical="center"/>
    </xf>
    <xf numFmtId="0" fontId="4" fillId="0" borderId="33" xfId="1" applyFont="1" applyBorder="1" applyAlignment="1">
      <alignment vertical="center"/>
    </xf>
    <xf numFmtId="0" fontId="4" fillId="0" borderId="34" xfId="1" applyFont="1" applyBorder="1" applyAlignment="1">
      <alignment vertical="center"/>
    </xf>
    <xf numFmtId="0" fontId="4" fillId="0" borderId="37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7" fillId="0" borderId="0" xfId="0" applyFont="1">
      <alignment vertical="center"/>
    </xf>
    <xf numFmtId="179" fontId="4" fillId="4" borderId="1" xfId="1" applyNumberFormat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0" xfId="1"/>
    <xf numFmtId="0" fontId="6" fillId="0" borderId="2" xfId="1" applyFont="1" applyBorder="1" applyAlignment="1">
      <alignment horizontal="center" vertical="center"/>
    </xf>
    <xf numFmtId="1" fontId="4" fillId="0" borderId="42" xfId="1" applyNumberFormat="1" applyFont="1" applyBorder="1" applyAlignment="1">
      <alignment horizontal="center" vertical="center"/>
    </xf>
    <xf numFmtId="1" fontId="4" fillId="0" borderId="14" xfId="1" quotePrefix="1" applyNumberFormat="1" applyFont="1" applyBorder="1" applyAlignment="1">
      <alignment horizontal="center" vertical="center" wrapText="1"/>
    </xf>
    <xf numFmtId="58" fontId="4" fillId="0" borderId="14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79" fontId="4" fillId="0" borderId="15" xfId="1" applyNumberFormat="1" applyFont="1" applyBorder="1" applyAlignment="1">
      <alignment horizontal="center" vertical="center"/>
    </xf>
    <xf numFmtId="178" fontId="4" fillId="3" borderId="43" xfId="1" applyNumberFormat="1" applyFont="1" applyFill="1" applyBorder="1" applyAlignment="1">
      <alignment horizontal="center" vertical="center"/>
    </xf>
    <xf numFmtId="1" fontId="4" fillId="3" borderId="44" xfId="1" applyNumberFormat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4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177" fontId="4" fillId="0" borderId="18" xfId="1" applyNumberFormat="1" applyFont="1" applyBorder="1" applyAlignment="1">
      <alignment horizontal="left" vertical="center"/>
    </xf>
    <xf numFmtId="177" fontId="4" fillId="0" borderId="19" xfId="1" applyNumberFormat="1" applyFont="1" applyBorder="1" applyAlignment="1">
      <alignment horizontal="left" vertical="center"/>
    </xf>
    <xf numFmtId="177" fontId="4" fillId="0" borderId="26" xfId="1" applyNumberFormat="1" applyFont="1" applyBorder="1" applyAlignment="1">
      <alignment horizontal="left" vertical="center"/>
    </xf>
    <xf numFmtId="0" fontId="4" fillId="0" borderId="27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177" fontId="4" fillId="0" borderId="28" xfId="1" applyNumberFormat="1" applyFont="1" applyBorder="1" applyAlignment="1">
      <alignment horizontal="left" vertical="center"/>
    </xf>
    <xf numFmtId="177" fontId="4" fillId="0" borderId="29" xfId="1" applyNumberFormat="1" applyFont="1" applyBorder="1" applyAlignment="1">
      <alignment horizontal="left" vertical="center"/>
    </xf>
    <xf numFmtId="177" fontId="4" fillId="0" borderId="30" xfId="1" applyNumberFormat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0" fontId="4" fillId="0" borderId="29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4" fillId="0" borderId="30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43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28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179" fontId="4" fillId="3" borderId="1" xfId="1" applyNumberFormat="1" applyFont="1" applyFill="1" applyBorder="1" applyAlignment="1">
      <alignment horizontal="center" vertical="center"/>
    </xf>
    <xf numFmtId="179" fontId="4" fillId="3" borderId="15" xfId="1" applyNumberFormat="1" applyFont="1" applyFill="1" applyBorder="1" applyAlignment="1">
      <alignment horizontal="center" vertical="center"/>
    </xf>
    <xf numFmtId="179" fontId="4" fillId="3" borderId="35" xfId="1" applyNumberFormat="1" applyFont="1" applyFill="1" applyBorder="1" applyAlignment="1">
      <alignment horizontal="center" vertical="center"/>
    </xf>
    <xf numFmtId="179" fontId="4" fillId="3" borderId="22" xfId="1" applyNumberFormat="1" applyFont="1" applyFill="1" applyBorder="1" applyAlignment="1">
      <alignment horizontal="center" vertical="center"/>
    </xf>
    <xf numFmtId="179" fontId="4" fillId="3" borderId="38" xfId="1" applyNumberFormat="1" applyFont="1" applyFill="1" applyBorder="1" applyAlignment="1">
      <alignment horizontal="center" vertical="center"/>
    </xf>
    <xf numFmtId="179" fontId="4" fillId="3" borderId="45" xfId="1" applyNumberFormat="1" applyFont="1" applyFill="1" applyBorder="1" applyAlignment="1">
      <alignment horizontal="center" vertical="center"/>
    </xf>
    <xf numFmtId="179" fontId="4" fillId="3" borderId="16" xfId="1" applyNumberFormat="1" applyFont="1" applyFill="1" applyBorder="1" applyAlignment="1">
      <alignment horizontal="center" vertical="center"/>
    </xf>
    <xf numFmtId="179" fontId="4" fillId="3" borderId="46" xfId="1" applyNumberFormat="1" applyFont="1" applyFill="1" applyBorder="1" applyAlignment="1">
      <alignment horizontal="center" vertical="center"/>
    </xf>
    <xf numFmtId="179" fontId="4" fillId="3" borderId="47" xfId="1" applyNumberFormat="1" applyFont="1" applyFill="1" applyBorder="1" applyAlignment="1">
      <alignment horizontal="center" vertical="center"/>
    </xf>
    <xf numFmtId="179" fontId="4" fillId="3" borderId="48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1107497</xdr:colOff>
      <xdr:row>0</xdr:row>
      <xdr:rowOff>155865</xdr:rowOff>
    </xdr:from>
    <xdr:to>
      <xdr:col>11</xdr:col>
      <xdr:colOff>635099</xdr:colOff>
      <xdr:row>6</xdr:row>
      <xdr:rowOff>34636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021" y="155865"/>
          <a:ext cx="1978123" cy="1671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83993</xdr:colOff>
      <xdr:row>1</xdr:row>
      <xdr:rowOff>27710</xdr:rowOff>
    </xdr:from>
    <xdr:to>
      <xdr:col>24</xdr:col>
      <xdr:colOff>867003</xdr:colOff>
      <xdr:row>4</xdr:row>
      <xdr:rowOff>147205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28857" y="322119"/>
          <a:ext cx="1640261" cy="994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154998</xdr:colOff>
      <xdr:row>0</xdr:row>
      <xdr:rowOff>259773</xdr:rowOff>
    </xdr:from>
    <xdr:to>
      <xdr:col>11</xdr:col>
      <xdr:colOff>491260</xdr:colOff>
      <xdr:row>5</xdr:row>
      <xdr:rowOff>138545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4158" y="259773"/>
          <a:ext cx="1609147" cy="1359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83993</xdr:colOff>
      <xdr:row>1</xdr:row>
      <xdr:rowOff>27709</xdr:rowOff>
    </xdr:from>
    <xdr:to>
      <xdr:col>25</xdr:col>
      <xdr:colOff>579979</xdr:colOff>
      <xdr:row>5</xdr:row>
      <xdr:rowOff>259772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3448" y="322118"/>
          <a:ext cx="2470258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77066</xdr:colOff>
      <xdr:row>0</xdr:row>
      <xdr:rowOff>277092</xdr:rowOff>
    </xdr:from>
    <xdr:to>
      <xdr:col>11</xdr:col>
      <xdr:colOff>444076</xdr:colOff>
      <xdr:row>5</xdr:row>
      <xdr:rowOff>181841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6" y="277092"/>
          <a:ext cx="1639895" cy="1385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83994</xdr:colOff>
      <xdr:row>1</xdr:row>
      <xdr:rowOff>27710</xdr:rowOff>
    </xdr:from>
    <xdr:to>
      <xdr:col>24</xdr:col>
      <xdr:colOff>744005</xdr:colOff>
      <xdr:row>4</xdr:row>
      <xdr:rowOff>69273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28858" y="322119"/>
          <a:ext cx="1517262" cy="916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40"/>
  <sheetViews>
    <sheetView zoomScale="55" zoomScaleNormal="55" workbookViewId="0">
      <selection activeCell="B11" sqref="B11:L12"/>
    </sheetView>
  </sheetViews>
  <sheetFormatPr defaultColWidth="9" defaultRowHeight="13.5" x14ac:dyDescent="0.3"/>
  <cols>
    <col min="1" max="1" width="14.46484375" style="31" customWidth="1"/>
    <col min="2" max="10" width="16.46484375" style="31" customWidth="1"/>
    <col min="11" max="11" width="17.86328125" style="31" customWidth="1"/>
    <col min="12" max="12" width="9" style="31"/>
    <col min="13" max="13" width="14.46484375" style="31" customWidth="1"/>
    <col min="14" max="22" width="16.46484375" style="31" customWidth="1"/>
    <col min="23" max="23" width="17.86328125" style="31" customWidth="1"/>
    <col min="24" max="24" width="12" style="31" customWidth="1"/>
    <col min="25" max="25" width="12.59765625" style="31" customWidth="1"/>
    <col min="26" max="26" width="14.46484375" style="31" customWidth="1"/>
    <col min="27" max="35" width="16.46484375" style="31" customWidth="1"/>
    <col min="36" max="36" width="17.86328125" style="31" customWidth="1"/>
    <col min="37" max="16384" width="9" style="31"/>
  </cols>
  <sheetData>
    <row r="1" spans="2:25" ht="23.25" customHeight="1" thickTop="1" thickBot="1" x14ac:dyDescent="0.35">
      <c r="B1" s="44" t="s">
        <v>0</v>
      </c>
      <c r="C1" s="45"/>
      <c r="D1" s="46"/>
      <c r="E1" s="50" t="s">
        <v>1</v>
      </c>
      <c r="F1" s="51"/>
      <c r="G1" s="51"/>
      <c r="H1" s="51"/>
      <c r="I1" s="51"/>
      <c r="J1" s="52"/>
      <c r="K1" s="33"/>
      <c r="L1" s="34"/>
      <c r="O1" s="44" t="s">
        <v>0</v>
      </c>
      <c r="P1" s="45"/>
      <c r="Q1" s="46"/>
      <c r="R1" s="50" t="s">
        <v>1</v>
      </c>
      <c r="S1" s="51"/>
      <c r="T1" s="51"/>
      <c r="U1" s="51"/>
      <c r="V1" s="51"/>
      <c r="W1" s="52"/>
      <c r="X1" s="33"/>
      <c r="Y1" s="34"/>
    </row>
    <row r="2" spans="2:25" ht="23.25" customHeight="1" thickTop="1" thickBot="1" x14ac:dyDescent="0.35">
      <c r="B2" s="47"/>
      <c r="C2" s="48"/>
      <c r="D2" s="49"/>
      <c r="E2" s="53" t="s">
        <v>2</v>
      </c>
      <c r="F2" s="54"/>
      <c r="G2" s="55"/>
      <c r="H2" s="1" t="s">
        <v>3</v>
      </c>
      <c r="I2" s="2" t="s">
        <v>4</v>
      </c>
      <c r="J2" s="3" t="s">
        <v>5</v>
      </c>
      <c r="K2" s="18"/>
      <c r="L2" s="30"/>
      <c r="O2" s="47"/>
      <c r="P2" s="48"/>
      <c r="Q2" s="49"/>
      <c r="R2" s="53" t="s">
        <v>2</v>
      </c>
      <c r="S2" s="54"/>
      <c r="T2" s="55"/>
      <c r="U2" s="1" t="s">
        <v>3</v>
      </c>
      <c r="V2" s="2" t="s">
        <v>4</v>
      </c>
      <c r="W2" s="3" t="s">
        <v>5</v>
      </c>
      <c r="X2" s="18"/>
      <c r="Y2" s="30"/>
    </row>
    <row r="3" spans="2:25" ht="24" customHeight="1" thickTop="1" x14ac:dyDescent="0.35">
      <c r="B3" s="56" t="s">
        <v>16</v>
      </c>
      <c r="C3" s="57"/>
      <c r="D3" s="58"/>
      <c r="E3" s="59" t="s">
        <v>6</v>
      </c>
      <c r="F3" s="60"/>
      <c r="G3" s="61"/>
      <c r="H3" s="29" t="s">
        <v>7</v>
      </c>
      <c r="I3" s="4">
        <v>45656</v>
      </c>
      <c r="J3" s="5">
        <v>46020</v>
      </c>
      <c r="K3" s="35"/>
      <c r="L3" s="30"/>
      <c r="O3" s="56" t="s">
        <v>16</v>
      </c>
      <c r="P3" s="57"/>
      <c r="Q3" s="58"/>
      <c r="R3" s="59" t="s">
        <v>6</v>
      </c>
      <c r="S3" s="60"/>
      <c r="T3" s="61"/>
      <c r="U3" s="29" t="s">
        <v>7</v>
      </c>
      <c r="V3" s="4">
        <v>45656</v>
      </c>
      <c r="W3" s="5">
        <v>46020</v>
      </c>
      <c r="X3" s="35"/>
      <c r="Y3" s="30"/>
    </row>
    <row r="4" spans="2:25" ht="21.75" customHeight="1" x14ac:dyDescent="0.3">
      <c r="B4" s="62" t="s">
        <v>17</v>
      </c>
      <c r="C4" s="63"/>
      <c r="D4" s="64"/>
      <c r="E4" s="23"/>
      <c r="F4" s="24"/>
      <c r="G4" s="25"/>
      <c r="H4" s="22"/>
      <c r="I4" s="6"/>
      <c r="J4" s="7"/>
      <c r="K4" s="18"/>
      <c r="L4" s="30"/>
      <c r="O4" s="62" t="s">
        <v>17</v>
      </c>
      <c r="P4" s="63"/>
      <c r="Q4" s="64"/>
      <c r="R4" s="23"/>
      <c r="S4" s="24"/>
      <c r="T4" s="25"/>
      <c r="U4" s="22"/>
      <c r="V4" s="6"/>
      <c r="W4" s="7"/>
      <c r="X4" s="18"/>
      <c r="Y4" s="30"/>
    </row>
    <row r="5" spans="2:25" ht="24.4" x14ac:dyDescent="0.3">
      <c r="B5" s="65" t="s">
        <v>18</v>
      </c>
      <c r="C5" s="63"/>
      <c r="D5" s="64"/>
      <c r="E5" s="23"/>
      <c r="F5" s="24"/>
      <c r="G5" s="25"/>
      <c r="H5" s="22"/>
      <c r="I5" s="6"/>
      <c r="J5" s="7"/>
      <c r="K5" s="8"/>
      <c r="L5" s="36"/>
      <c r="O5" s="65" t="s">
        <v>18</v>
      </c>
      <c r="P5" s="63"/>
      <c r="Q5" s="64"/>
      <c r="R5" s="23"/>
      <c r="S5" s="24"/>
      <c r="T5" s="25"/>
      <c r="U5" s="22"/>
      <c r="V5" s="6"/>
      <c r="W5" s="7"/>
      <c r="X5" s="8"/>
      <c r="Y5" s="36"/>
    </row>
    <row r="6" spans="2:25" ht="24.4" x14ac:dyDescent="0.3">
      <c r="B6" s="65" t="s">
        <v>19</v>
      </c>
      <c r="C6" s="63"/>
      <c r="D6" s="64"/>
      <c r="E6" s="23"/>
      <c r="F6" s="24"/>
      <c r="G6" s="25"/>
      <c r="H6" s="22"/>
      <c r="I6" s="6"/>
      <c r="J6" s="7"/>
      <c r="K6" s="8"/>
      <c r="L6" s="36"/>
      <c r="O6" s="65" t="s">
        <v>19</v>
      </c>
      <c r="P6" s="63"/>
      <c r="Q6" s="64"/>
      <c r="R6" s="23"/>
      <c r="S6" s="24"/>
      <c r="T6" s="25"/>
      <c r="U6" s="22"/>
      <c r="V6" s="6"/>
      <c r="W6" s="7"/>
      <c r="X6" s="8"/>
      <c r="Y6" s="36"/>
    </row>
    <row r="7" spans="2:25" ht="24.75" thickBot="1" x14ac:dyDescent="0.35">
      <c r="B7" s="66" t="s">
        <v>20</v>
      </c>
      <c r="C7" s="67"/>
      <c r="D7" s="68"/>
      <c r="E7" s="23"/>
      <c r="F7" s="24"/>
      <c r="G7" s="25"/>
      <c r="H7" s="22"/>
      <c r="I7" s="6"/>
      <c r="J7" s="7"/>
      <c r="K7" s="8"/>
      <c r="L7" s="36"/>
      <c r="O7" s="66" t="s">
        <v>20</v>
      </c>
      <c r="P7" s="67"/>
      <c r="Q7" s="68"/>
      <c r="R7" s="23"/>
      <c r="S7" s="24"/>
      <c r="T7" s="25"/>
      <c r="U7" s="22"/>
      <c r="V7" s="6"/>
      <c r="W7" s="7"/>
      <c r="X7" s="8"/>
      <c r="Y7" s="36"/>
    </row>
    <row r="8" spans="2:25" ht="21.75" thickTop="1" x14ac:dyDescent="0.3">
      <c r="B8" s="69" t="s">
        <v>55</v>
      </c>
      <c r="C8" s="70"/>
      <c r="D8" s="70"/>
      <c r="E8" s="23"/>
      <c r="F8" s="24"/>
      <c r="G8" s="25"/>
      <c r="H8" s="22"/>
      <c r="I8" s="6"/>
      <c r="J8" s="7"/>
      <c r="K8" s="71" t="s">
        <v>57</v>
      </c>
      <c r="L8" s="72"/>
      <c r="O8" s="69" t="s">
        <v>68</v>
      </c>
      <c r="P8" s="70"/>
      <c r="Q8" s="70"/>
      <c r="R8" s="23"/>
      <c r="S8" s="24"/>
      <c r="T8" s="25"/>
      <c r="U8" s="22"/>
      <c r="V8" s="6"/>
      <c r="W8" s="7"/>
      <c r="X8" s="71" t="s">
        <v>66</v>
      </c>
      <c r="Y8" s="72"/>
    </row>
    <row r="9" spans="2:25" ht="21.75" thickBot="1" x14ac:dyDescent="0.35">
      <c r="B9" s="69" t="s">
        <v>56</v>
      </c>
      <c r="C9" s="70"/>
      <c r="D9" s="70"/>
      <c r="E9" s="26"/>
      <c r="F9" s="27"/>
      <c r="G9" s="28"/>
      <c r="H9" s="21"/>
      <c r="I9" s="9"/>
      <c r="J9" s="10"/>
      <c r="K9" s="73" t="s">
        <v>58</v>
      </c>
      <c r="L9" s="74"/>
      <c r="O9" s="69" t="s">
        <v>69</v>
      </c>
      <c r="P9" s="70"/>
      <c r="Q9" s="70"/>
      <c r="R9" s="26"/>
      <c r="S9" s="27"/>
      <c r="T9" s="28"/>
      <c r="U9" s="21"/>
      <c r="V9" s="9"/>
      <c r="W9" s="10"/>
      <c r="X9" s="73" t="s">
        <v>67</v>
      </c>
      <c r="Y9" s="74"/>
    </row>
    <row r="10" spans="2:25" ht="21.75" thickTop="1" x14ac:dyDescent="0.3">
      <c r="B10" s="75" t="s">
        <v>61</v>
      </c>
      <c r="C10" s="76"/>
      <c r="D10" s="76"/>
      <c r="E10" s="76"/>
      <c r="F10" s="76"/>
      <c r="G10" s="76"/>
      <c r="H10" s="77"/>
      <c r="I10" s="78" t="s">
        <v>59</v>
      </c>
      <c r="J10" s="79"/>
      <c r="K10" s="79"/>
      <c r="L10" s="72"/>
      <c r="O10" s="75" t="s">
        <v>46</v>
      </c>
      <c r="P10" s="76"/>
      <c r="Q10" s="76"/>
      <c r="R10" s="76"/>
      <c r="S10" s="76"/>
      <c r="T10" s="76"/>
      <c r="U10" s="77"/>
      <c r="V10" s="78" t="s">
        <v>59</v>
      </c>
      <c r="W10" s="79"/>
      <c r="X10" s="79"/>
      <c r="Y10" s="72"/>
    </row>
    <row r="11" spans="2:25" ht="21.4" x14ac:dyDescent="0.3">
      <c r="B11" s="80" t="s">
        <v>62</v>
      </c>
      <c r="C11" s="81"/>
      <c r="D11" s="81"/>
      <c r="E11" s="81"/>
      <c r="F11" s="81"/>
      <c r="G11" s="81"/>
      <c r="H11" s="82"/>
      <c r="I11" s="83" t="s">
        <v>63</v>
      </c>
      <c r="J11" s="84"/>
      <c r="K11" s="84"/>
      <c r="L11" s="85"/>
      <c r="O11" s="80" t="s">
        <v>62</v>
      </c>
      <c r="P11" s="81"/>
      <c r="Q11" s="81"/>
      <c r="R11" s="81"/>
      <c r="S11" s="81"/>
      <c r="T11" s="81"/>
      <c r="U11" s="82"/>
      <c r="V11" s="83" t="s">
        <v>63</v>
      </c>
      <c r="W11" s="84"/>
      <c r="X11" s="84"/>
      <c r="Y11" s="85"/>
    </row>
    <row r="12" spans="2:25" ht="21.4" x14ac:dyDescent="0.3">
      <c r="B12" s="69" t="s">
        <v>31</v>
      </c>
      <c r="C12" s="70"/>
      <c r="D12" s="70"/>
      <c r="E12" s="70" t="s">
        <v>39</v>
      </c>
      <c r="F12" s="70"/>
      <c r="G12" s="70"/>
      <c r="H12" s="83" t="s">
        <v>15</v>
      </c>
      <c r="I12" s="84"/>
      <c r="J12" s="86"/>
      <c r="K12" s="87" t="s">
        <v>64</v>
      </c>
      <c r="L12" s="74"/>
      <c r="O12" s="69" t="s">
        <v>31</v>
      </c>
      <c r="P12" s="70"/>
      <c r="Q12" s="70"/>
      <c r="R12" s="70" t="s">
        <v>39</v>
      </c>
      <c r="S12" s="70"/>
      <c r="T12" s="70"/>
      <c r="U12" s="83" t="s">
        <v>15</v>
      </c>
      <c r="V12" s="84"/>
      <c r="W12" s="86"/>
      <c r="X12" s="87" t="s">
        <v>64</v>
      </c>
      <c r="Y12" s="74"/>
    </row>
    <row r="13" spans="2:25" ht="21.4" x14ac:dyDescent="0.3">
      <c r="B13" s="88" t="s">
        <v>8</v>
      </c>
      <c r="C13" s="89"/>
      <c r="D13" s="89"/>
      <c r="E13" s="89"/>
      <c r="F13" s="89"/>
      <c r="G13" s="90"/>
      <c r="H13" s="91" t="s">
        <v>8</v>
      </c>
      <c r="I13" s="92"/>
      <c r="J13" s="92"/>
      <c r="K13" s="92"/>
      <c r="L13" s="93"/>
      <c r="O13" s="88" t="s">
        <v>8</v>
      </c>
      <c r="P13" s="89"/>
      <c r="Q13" s="89"/>
      <c r="R13" s="89"/>
      <c r="S13" s="89"/>
      <c r="T13" s="90"/>
      <c r="U13" s="91" t="s">
        <v>8</v>
      </c>
      <c r="V13" s="92"/>
      <c r="W13" s="92"/>
      <c r="X13" s="92"/>
      <c r="Y13" s="93"/>
    </row>
    <row r="14" spans="2:25" ht="21.4" x14ac:dyDescent="0.3">
      <c r="B14" s="94" t="s">
        <v>48</v>
      </c>
      <c r="C14" s="84"/>
      <c r="D14" s="84"/>
      <c r="E14" s="84"/>
      <c r="F14" s="84"/>
      <c r="G14" s="84"/>
      <c r="H14" s="70" t="s">
        <v>78</v>
      </c>
      <c r="I14" s="70"/>
      <c r="J14" s="70"/>
      <c r="K14" s="70"/>
      <c r="L14" s="95"/>
      <c r="O14" s="94" t="s">
        <v>32</v>
      </c>
      <c r="P14" s="84"/>
      <c r="Q14" s="84"/>
      <c r="R14" s="84"/>
      <c r="S14" s="84"/>
      <c r="T14" s="84"/>
      <c r="U14" s="70" t="s">
        <v>78</v>
      </c>
      <c r="V14" s="70"/>
      <c r="W14" s="70"/>
      <c r="X14" s="70"/>
      <c r="Y14" s="95"/>
    </row>
    <row r="15" spans="2:25" ht="21.4" x14ac:dyDescent="0.3">
      <c r="B15" s="94" t="s">
        <v>33</v>
      </c>
      <c r="C15" s="84"/>
      <c r="D15" s="84"/>
      <c r="E15" s="84"/>
      <c r="F15" s="84"/>
      <c r="G15" s="84"/>
      <c r="H15" s="70" t="s">
        <v>79</v>
      </c>
      <c r="I15" s="70"/>
      <c r="J15" s="70"/>
      <c r="K15" s="70"/>
      <c r="L15" s="95"/>
      <c r="O15" s="94" t="s">
        <v>33</v>
      </c>
      <c r="P15" s="84"/>
      <c r="Q15" s="84"/>
      <c r="R15" s="84"/>
      <c r="S15" s="84"/>
      <c r="T15" s="84"/>
      <c r="U15" s="70" t="s">
        <v>79</v>
      </c>
      <c r="V15" s="70"/>
      <c r="W15" s="70"/>
      <c r="X15" s="70"/>
      <c r="Y15" s="95"/>
    </row>
    <row r="16" spans="2:25" ht="21.4" x14ac:dyDescent="0.3">
      <c r="B16" s="94" t="s">
        <v>34</v>
      </c>
      <c r="C16" s="84"/>
      <c r="D16" s="84"/>
      <c r="E16" s="84"/>
      <c r="F16" s="84"/>
      <c r="G16" s="84"/>
      <c r="H16" s="70" t="s">
        <v>80</v>
      </c>
      <c r="I16" s="70"/>
      <c r="J16" s="70"/>
      <c r="K16" s="70"/>
      <c r="L16" s="95"/>
      <c r="O16" s="94" t="s">
        <v>34</v>
      </c>
      <c r="P16" s="84"/>
      <c r="Q16" s="84"/>
      <c r="R16" s="84"/>
      <c r="S16" s="84"/>
      <c r="T16" s="84"/>
      <c r="U16" s="70" t="s">
        <v>80</v>
      </c>
      <c r="V16" s="70"/>
      <c r="W16" s="70"/>
      <c r="X16" s="70"/>
      <c r="Y16" s="95"/>
    </row>
    <row r="17" spans="2:25" ht="21.4" x14ac:dyDescent="0.3">
      <c r="B17" s="94" t="s">
        <v>35</v>
      </c>
      <c r="C17" s="84"/>
      <c r="D17" s="84"/>
      <c r="E17" s="84"/>
      <c r="F17" s="84"/>
      <c r="G17" s="84"/>
      <c r="H17" s="70" t="s">
        <v>81</v>
      </c>
      <c r="I17" s="70"/>
      <c r="J17" s="70"/>
      <c r="K17" s="70"/>
      <c r="L17" s="95"/>
      <c r="O17" s="94" t="s">
        <v>35</v>
      </c>
      <c r="P17" s="84"/>
      <c r="Q17" s="84"/>
      <c r="R17" s="84"/>
      <c r="S17" s="84"/>
      <c r="T17" s="84"/>
      <c r="U17" s="70" t="s">
        <v>81</v>
      </c>
      <c r="V17" s="70"/>
      <c r="W17" s="70"/>
      <c r="X17" s="70"/>
      <c r="Y17" s="95"/>
    </row>
    <row r="18" spans="2:25" ht="21.4" x14ac:dyDescent="0.3">
      <c r="B18" s="94" t="s">
        <v>36</v>
      </c>
      <c r="C18" s="84"/>
      <c r="D18" s="84"/>
      <c r="E18" s="84"/>
      <c r="F18" s="84"/>
      <c r="G18" s="84"/>
      <c r="H18" s="70" t="s">
        <v>82</v>
      </c>
      <c r="I18" s="70"/>
      <c r="J18" s="70"/>
      <c r="K18" s="70"/>
      <c r="L18" s="95"/>
      <c r="O18" s="94" t="s">
        <v>36</v>
      </c>
      <c r="P18" s="84"/>
      <c r="Q18" s="84"/>
      <c r="R18" s="84"/>
      <c r="S18" s="84"/>
      <c r="T18" s="84"/>
      <c r="U18" s="70" t="s">
        <v>82</v>
      </c>
      <c r="V18" s="70"/>
      <c r="W18" s="70"/>
      <c r="X18" s="70"/>
      <c r="Y18" s="95"/>
    </row>
    <row r="19" spans="2:25" ht="21.4" x14ac:dyDescent="0.3">
      <c r="B19" s="11"/>
      <c r="C19" s="12">
        <v>1</v>
      </c>
      <c r="D19" s="12">
        <v>2</v>
      </c>
      <c r="E19" s="13">
        <v>3</v>
      </c>
      <c r="F19" s="13">
        <v>4</v>
      </c>
      <c r="G19" s="12">
        <v>5</v>
      </c>
      <c r="H19" s="13">
        <v>6</v>
      </c>
      <c r="I19" s="13">
        <v>7</v>
      </c>
      <c r="J19" s="13">
        <v>8</v>
      </c>
      <c r="K19" s="13">
        <v>9</v>
      </c>
      <c r="L19" s="14">
        <v>10</v>
      </c>
      <c r="O19" s="11"/>
      <c r="P19" s="12">
        <v>1</v>
      </c>
      <c r="Q19" s="12">
        <v>2</v>
      </c>
      <c r="R19" s="13">
        <v>3</v>
      </c>
      <c r="S19" s="13">
        <v>4</v>
      </c>
      <c r="T19" s="12">
        <v>5</v>
      </c>
      <c r="U19" s="13">
        <v>6</v>
      </c>
      <c r="V19" s="13">
        <v>7</v>
      </c>
      <c r="W19" s="13">
        <v>8</v>
      </c>
      <c r="X19" s="13">
        <v>9</v>
      </c>
      <c r="Y19" s="14">
        <v>10</v>
      </c>
    </row>
    <row r="20" spans="2:25" ht="21.4" x14ac:dyDescent="0.3">
      <c r="B20" s="15" t="s">
        <v>9</v>
      </c>
      <c r="C20" s="16" t="s">
        <v>37</v>
      </c>
      <c r="D20" s="16" t="s">
        <v>37</v>
      </c>
      <c r="E20" s="16" t="s">
        <v>37</v>
      </c>
      <c r="F20" s="16" t="s">
        <v>37</v>
      </c>
      <c r="G20" s="16" t="s">
        <v>37</v>
      </c>
      <c r="H20" s="16" t="s">
        <v>28</v>
      </c>
      <c r="I20" s="16" t="s">
        <v>28</v>
      </c>
      <c r="J20" s="16" t="s">
        <v>28</v>
      </c>
      <c r="K20" s="16" t="s">
        <v>28</v>
      </c>
      <c r="L20" s="37" t="s">
        <v>28</v>
      </c>
      <c r="O20" s="15" t="s">
        <v>9</v>
      </c>
      <c r="P20" s="16" t="s">
        <v>37</v>
      </c>
      <c r="Q20" s="16" t="s">
        <v>37</v>
      </c>
      <c r="R20" s="16" t="s">
        <v>37</v>
      </c>
      <c r="S20" s="16" t="s">
        <v>37</v>
      </c>
      <c r="T20" s="16" t="s">
        <v>37</v>
      </c>
      <c r="U20" s="16" t="s">
        <v>28</v>
      </c>
      <c r="V20" s="16" t="s">
        <v>28</v>
      </c>
      <c r="W20" s="16" t="s">
        <v>28</v>
      </c>
      <c r="X20" s="16" t="s">
        <v>28</v>
      </c>
      <c r="Y20" s="37" t="s">
        <v>28</v>
      </c>
    </row>
    <row r="21" spans="2:25" ht="64.150000000000006" x14ac:dyDescent="0.3">
      <c r="B21" s="38" t="s">
        <v>10</v>
      </c>
      <c r="C21" s="17" t="s">
        <v>40</v>
      </c>
      <c r="D21" s="17" t="s">
        <v>41</v>
      </c>
      <c r="E21" s="17" t="s">
        <v>42</v>
      </c>
      <c r="F21" s="17" t="s">
        <v>43</v>
      </c>
      <c r="G21" s="17" t="s">
        <v>44</v>
      </c>
      <c r="H21" s="17" t="s">
        <v>40</v>
      </c>
      <c r="I21" s="17" t="s">
        <v>41</v>
      </c>
      <c r="J21" s="17" t="s">
        <v>42</v>
      </c>
      <c r="K21" s="17" t="s">
        <v>43</v>
      </c>
      <c r="L21" s="17" t="s">
        <v>44</v>
      </c>
      <c r="O21" s="38" t="s">
        <v>10</v>
      </c>
      <c r="P21" s="17" t="s">
        <v>40</v>
      </c>
      <c r="Q21" s="17" t="s">
        <v>41</v>
      </c>
      <c r="R21" s="17" t="s">
        <v>42</v>
      </c>
      <c r="S21" s="17" t="s">
        <v>43</v>
      </c>
      <c r="T21" s="17" t="s">
        <v>44</v>
      </c>
      <c r="U21" s="17" t="s">
        <v>40</v>
      </c>
      <c r="V21" s="17" t="s">
        <v>41</v>
      </c>
      <c r="W21" s="17" t="s">
        <v>42</v>
      </c>
      <c r="X21" s="17" t="s">
        <v>43</v>
      </c>
      <c r="Y21" s="17" t="s">
        <v>44</v>
      </c>
    </row>
    <row r="22" spans="2:25" ht="21.4" x14ac:dyDescent="0.3">
      <c r="B22" s="39" t="s">
        <v>65</v>
      </c>
      <c r="C22" s="32" t="s">
        <v>29</v>
      </c>
      <c r="D22" s="32" t="s">
        <v>29</v>
      </c>
      <c r="E22" s="32" t="s">
        <v>29</v>
      </c>
      <c r="F22" s="32" t="s">
        <v>29</v>
      </c>
      <c r="G22" s="32" t="s">
        <v>29</v>
      </c>
      <c r="H22" s="32">
        <v>0</v>
      </c>
      <c r="I22" s="32">
        <v>3.2</v>
      </c>
      <c r="J22" s="32">
        <v>2.7</v>
      </c>
      <c r="K22" s="32">
        <v>2.4</v>
      </c>
      <c r="L22" s="32">
        <v>4.0999999999999996</v>
      </c>
      <c r="O22" s="39" t="s">
        <v>65</v>
      </c>
      <c r="P22" s="32" t="s">
        <v>29</v>
      </c>
      <c r="Q22" s="32" t="s">
        <v>29</v>
      </c>
      <c r="R22" s="32" t="s">
        <v>29</v>
      </c>
      <c r="S22" s="32" t="s">
        <v>29</v>
      </c>
      <c r="T22" s="32" t="s">
        <v>29</v>
      </c>
      <c r="U22" s="32">
        <v>2.8</v>
      </c>
      <c r="V22" s="32">
        <v>1.2</v>
      </c>
      <c r="W22" s="32">
        <v>0.9</v>
      </c>
      <c r="X22" s="32">
        <v>4.3</v>
      </c>
      <c r="Y22" s="32">
        <v>18.3</v>
      </c>
    </row>
    <row r="23" spans="2:25" ht="21.4" x14ac:dyDescent="0.3">
      <c r="B23" s="39"/>
      <c r="C23" s="32"/>
      <c r="D23" s="32"/>
      <c r="E23" s="32"/>
      <c r="F23" s="32"/>
      <c r="G23" s="32"/>
      <c r="H23" s="32"/>
      <c r="I23" s="32"/>
      <c r="J23" s="32"/>
      <c r="K23" s="32"/>
      <c r="L23" s="32"/>
      <c r="O23" s="39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2:25" ht="21.4" x14ac:dyDescent="0.3">
      <c r="B24" s="39"/>
      <c r="C24" s="32"/>
      <c r="D24" s="32"/>
      <c r="E24" s="32"/>
      <c r="F24" s="32"/>
      <c r="G24" s="32"/>
      <c r="H24" s="32"/>
      <c r="I24" s="32"/>
      <c r="J24" s="32"/>
      <c r="K24" s="32"/>
      <c r="L24" s="32"/>
      <c r="O24" s="39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2:25" ht="21.4" x14ac:dyDescent="0.3">
      <c r="B25" s="40"/>
      <c r="C25" s="20"/>
      <c r="D25" s="20"/>
      <c r="E25" s="20"/>
      <c r="F25" s="20"/>
      <c r="G25" s="20"/>
      <c r="H25" s="20"/>
      <c r="I25" s="20"/>
      <c r="J25" s="20"/>
      <c r="K25" s="20"/>
      <c r="L25" s="41"/>
      <c r="O25" s="40"/>
      <c r="P25" s="20"/>
      <c r="Q25" s="20"/>
      <c r="R25" s="20"/>
      <c r="S25" s="20"/>
      <c r="T25" s="20"/>
      <c r="U25" s="20"/>
      <c r="V25" s="20"/>
      <c r="W25" s="20"/>
      <c r="X25" s="20"/>
      <c r="Y25" s="41"/>
    </row>
    <row r="26" spans="2:25" ht="21.4" x14ac:dyDescent="0.3">
      <c r="B26" s="40"/>
      <c r="C26" s="20"/>
      <c r="D26" s="20"/>
      <c r="E26" s="20"/>
      <c r="F26" s="20"/>
      <c r="G26" s="20"/>
      <c r="H26" s="20"/>
      <c r="I26" s="20"/>
      <c r="J26" s="20"/>
      <c r="K26" s="20"/>
      <c r="L26" s="41"/>
      <c r="O26" s="40"/>
      <c r="P26" s="20"/>
      <c r="Q26" s="20"/>
      <c r="R26" s="20"/>
      <c r="S26" s="20"/>
      <c r="T26" s="20"/>
      <c r="U26" s="20"/>
      <c r="V26" s="20"/>
      <c r="W26" s="20"/>
      <c r="X26" s="20"/>
      <c r="Y26" s="41"/>
    </row>
    <row r="27" spans="2:25" ht="21.4" x14ac:dyDescent="0.3">
      <c r="B27" s="40"/>
      <c r="C27" s="20"/>
      <c r="D27" s="20"/>
      <c r="E27" s="20"/>
      <c r="F27" s="20"/>
      <c r="G27" s="20"/>
      <c r="H27" s="20"/>
      <c r="I27" s="20"/>
      <c r="J27" s="20"/>
      <c r="K27" s="20"/>
      <c r="L27" s="41"/>
      <c r="O27" s="40"/>
      <c r="P27" s="20"/>
      <c r="Q27" s="20"/>
      <c r="R27" s="20"/>
      <c r="S27" s="20"/>
      <c r="T27" s="20"/>
      <c r="U27" s="20"/>
      <c r="V27" s="20"/>
      <c r="W27" s="20"/>
      <c r="X27" s="20"/>
      <c r="Y27" s="41"/>
    </row>
    <row r="28" spans="2:25" ht="21.4" x14ac:dyDescent="0.3">
      <c r="B28" s="40"/>
      <c r="C28" s="20"/>
      <c r="D28" s="20"/>
      <c r="E28" s="20"/>
      <c r="F28" s="20"/>
      <c r="G28" s="20"/>
      <c r="H28" s="20"/>
      <c r="I28" s="20"/>
      <c r="J28" s="20"/>
      <c r="K28" s="20"/>
      <c r="L28" s="41"/>
      <c r="O28" s="40"/>
      <c r="P28" s="20"/>
      <c r="Q28" s="20"/>
      <c r="R28" s="20"/>
      <c r="S28" s="20"/>
      <c r="T28" s="20"/>
      <c r="U28" s="20"/>
      <c r="V28" s="20"/>
      <c r="W28" s="20"/>
      <c r="X28" s="20"/>
      <c r="Y28" s="41"/>
    </row>
    <row r="29" spans="2:25" ht="21.4" x14ac:dyDescent="0.3">
      <c r="B29" s="40"/>
      <c r="C29" s="20"/>
      <c r="D29" s="20"/>
      <c r="E29" s="20"/>
      <c r="F29" s="20"/>
      <c r="G29" s="20"/>
      <c r="H29" s="20"/>
      <c r="I29" s="20"/>
      <c r="J29" s="20"/>
      <c r="K29" s="20"/>
      <c r="L29" s="41"/>
      <c r="O29" s="40"/>
      <c r="P29" s="20"/>
      <c r="Q29" s="20"/>
      <c r="R29" s="20"/>
      <c r="S29" s="20"/>
      <c r="T29" s="20"/>
      <c r="U29" s="20"/>
      <c r="V29" s="20"/>
      <c r="W29" s="20"/>
      <c r="X29" s="20"/>
      <c r="Y29" s="41"/>
    </row>
    <row r="30" spans="2:25" ht="21.4" x14ac:dyDescent="0.3">
      <c r="B30" s="40"/>
      <c r="C30" s="20"/>
      <c r="D30" s="20"/>
      <c r="E30" s="20"/>
      <c r="F30" s="20"/>
      <c r="G30" s="20"/>
      <c r="H30" s="20"/>
      <c r="I30" s="20"/>
      <c r="J30" s="20"/>
      <c r="K30" s="20"/>
      <c r="L30" s="41"/>
      <c r="O30" s="40"/>
      <c r="P30" s="20"/>
      <c r="Q30" s="20"/>
      <c r="R30" s="20"/>
      <c r="S30" s="20"/>
      <c r="T30" s="20"/>
      <c r="U30" s="20"/>
      <c r="V30" s="20"/>
      <c r="W30" s="20"/>
      <c r="X30" s="20"/>
      <c r="Y30" s="41"/>
    </row>
    <row r="31" spans="2:25" ht="21.4" x14ac:dyDescent="0.3">
      <c r="B31" s="40"/>
      <c r="C31" s="20"/>
      <c r="D31" s="20"/>
      <c r="E31" s="20"/>
      <c r="F31" s="20"/>
      <c r="G31" s="20"/>
      <c r="H31" s="20"/>
      <c r="I31" s="20"/>
      <c r="J31" s="20"/>
      <c r="K31" s="20"/>
      <c r="L31" s="41"/>
      <c r="O31" s="40"/>
      <c r="P31" s="20"/>
      <c r="Q31" s="20"/>
      <c r="R31" s="20"/>
      <c r="S31" s="20"/>
      <c r="T31" s="20"/>
      <c r="U31" s="20"/>
      <c r="V31" s="20"/>
      <c r="W31" s="20"/>
      <c r="X31" s="20"/>
      <c r="Y31" s="41"/>
    </row>
    <row r="32" spans="2:25" ht="21.4" x14ac:dyDescent="0.3">
      <c r="B32" s="40"/>
      <c r="C32" s="20"/>
      <c r="D32" s="20"/>
      <c r="E32" s="20"/>
      <c r="F32" s="20"/>
      <c r="G32" s="20"/>
      <c r="H32" s="20"/>
      <c r="I32" s="20"/>
      <c r="J32" s="20"/>
      <c r="K32" s="20"/>
      <c r="L32" s="41"/>
      <c r="O32" s="40"/>
      <c r="P32" s="20"/>
      <c r="Q32" s="20"/>
      <c r="R32" s="20"/>
      <c r="S32" s="20"/>
      <c r="T32" s="20"/>
      <c r="U32" s="20"/>
      <c r="V32" s="20"/>
      <c r="W32" s="20"/>
      <c r="X32" s="20"/>
      <c r="Y32" s="41"/>
    </row>
    <row r="33" spans="2:25" ht="21.4" x14ac:dyDescent="0.3">
      <c r="B33" s="40"/>
      <c r="C33" s="20"/>
      <c r="D33" s="20"/>
      <c r="E33" s="20"/>
      <c r="F33" s="20"/>
      <c r="G33" s="20"/>
      <c r="H33" s="20"/>
      <c r="I33" s="20"/>
      <c r="J33" s="20"/>
      <c r="K33" s="20"/>
      <c r="L33" s="41"/>
      <c r="O33" s="40"/>
      <c r="P33" s="20"/>
      <c r="Q33" s="20"/>
      <c r="R33" s="20"/>
      <c r="S33" s="20"/>
      <c r="T33" s="20"/>
      <c r="U33" s="20"/>
      <c r="V33" s="20"/>
      <c r="W33" s="20"/>
      <c r="X33" s="20"/>
      <c r="Y33" s="41"/>
    </row>
    <row r="34" spans="2:25" ht="21.4" x14ac:dyDescent="0.3">
      <c r="B34" s="42" t="s">
        <v>12</v>
      </c>
      <c r="C34" s="96" t="s">
        <v>27</v>
      </c>
      <c r="D34" s="96"/>
      <c r="E34" s="96"/>
      <c r="F34" s="96"/>
      <c r="G34" s="96"/>
      <c r="H34" s="96">
        <f>MIN(H22:L33)</f>
        <v>0</v>
      </c>
      <c r="I34" s="96"/>
      <c r="J34" s="96"/>
      <c r="K34" s="96"/>
      <c r="L34" s="97"/>
      <c r="O34" s="42" t="s">
        <v>12</v>
      </c>
      <c r="P34" s="96" t="s">
        <v>27</v>
      </c>
      <c r="Q34" s="96"/>
      <c r="R34" s="96"/>
      <c r="S34" s="96"/>
      <c r="T34" s="96"/>
      <c r="U34" s="96">
        <f>MIN(U22:Y33)</f>
        <v>0.9</v>
      </c>
      <c r="V34" s="96"/>
      <c r="W34" s="96"/>
      <c r="X34" s="96"/>
      <c r="Y34" s="97"/>
    </row>
    <row r="35" spans="2:25" ht="21.4" x14ac:dyDescent="0.3">
      <c r="B35" s="42" t="s">
        <v>11</v>
      </c>
      <c r="C35" s="96" t="s">
        <v>27</v>
      </c>
      <c r="D35" s="96"/>
      <c r="E35" s="96"/>
      <c r="F35" s="96"/>
      <c r="G35" s="96"/>
      <c r="H35" s="96">
        <f>MAX(H22:L33)</f>
        <v>4.0999999999999996</v>
      </c>
      <c r="I35" s="96"/>
      <c r="J35" s="96"/>
      <c r="K35" s="96"/>
      <c r="L35" s="97"/>
      <c r="O35" s="42" t="s">
        <v>11</v>
      </c>
      <c r="P35" s="96" t="s">
        <v>27</v>
      </c>
      <c r="Q35" s="96"/>
      <c r="R35" s="96"/>
      <c r="S35" s="96"/>
      <c r="T35" s="96"/>
      <c r="U35" s="96">
        <f>MAX(U22:Y33)</f>
        <v>18.3</v>
      </c>
      <c r="V35" s="96"/>
      <c r="W35" s="96"/>
      <c r="X35" s="96"/>
      <c r="Y35" s="97"/>
    </row>
    <row r="36" spans="2:25" ht="21.4" x14ac:dyDescent="0.3">
      <c r="B36" s="42" t="s">
        <v>13</v>
      </c>
      <c r="C36" s="98" t="s">
        <v>27</v>
      </c>
      <c r="D36" s="99"/>
      <c r="E36" s="99"/>
      <c r="F36" s="99"/>
      <c r="G36" s="100"/>
      <c r="H36" s="96">
        <f>AVERAGE(H22:L33)</f>
        <v>2.48</v>
      </c>
      <c r="I36" s="96"/>
      <c r="J36" s="96"/>
      <c r="K36" s="96"/>
      <c r="L36" s="97"/>
      <c r="O36" s="42" t="s">
        <v>13</v>
      </c>
      <c r="P36" s="98" t="s">
        <v>27</v>
      </c>
      <c r="Q36" s="99"/>
      <c r="R36" s="99"/>
      <c r="S36" s="99"/>
      <c r="T36" s="100"/>
      <c r="U36" s="96">
        <f>AVERAGE(U22:Y33)</f>
        <v>5.5</v>
      </c>
      <c r="V36" s="96"/>
      <c r="W36" s="96"/>
      <c r="X36" s="96"/>
      <c r="Y36" s="97"/>
    </row>
    <row r="37" spans="2:25" ht="21.75" thickBot="1" x14ac:dyDescent="0.35">
      <c r="B37" s="43" t="s">
        <v>14</v>
      </c>
      <c r="C37" s="101"/>
      <c r="D37" s="102"/>
      <c r="E37" s="102"/>
      <c r="F37" s="102"/>
      <c r="G37" s="103"/>
      <c r="H37" s="104">
        <f>STDEV(H22:L33)</f>
        <v>1.528724958911837</v>
      </c>
      <c r="I37" s="104"/>
      <c r="J37" s="104"/>
      <c r="K37" s="104"/>
      <c r="L37" s="105"/>
      <c r="O37" s="43" t="s">
        <v>14</v>
      </c>
      <c r="P37" s="101"/>
      <c r="Q37" s="102"/>
      <c r="R37" s="102"/>
      <c r="S37" s="102"/>
      <c r="T37" s="103"/>
      <c r="U37" s="104">
        <f>STDEV(U22:Y33)</f>
        <v>7.2838863253073907</v>
      </c>
      <c r="V37" s="104"/>
      <c r="W37" s="104"/>
      <c r="X37" s="104"/>
      <c r="Y37" s="105"/>
    </row>
    <row r="38" spans="2:25" ht="13.9" thickTop="1" x14ac:dyDescent="0.3"/>
    <row r="39" spans="2:25" ht="21.4" x14ac:dyDescent="0.3">
      <c r="B39" s="19" t="s">
        <v>21</v>
      </c>
      <c r="C39" s="18"/>
      <c r="D39" s="18"/>
      <c r="E39" s="18"/>
      <c r="F39" s="18"/>
      <c r="G39" s="18"/>
      <c r="H39" s="18"/>
      <c r="I39" s="18" t="s">
        <v>22</v>
      </c>
      <c r="J39" s="18"/>
      <c r="K39" s="19" t="s">
        <v>23</v>
      </c>
      <c r="L39" s="19" t="s">
        <v>24</v>
      </c>
      <c r="O39" s="19" t="s">
        <v>21</v>
      </c>
      <c r="P39" s="18"/>
      <c r="Q39" s="18"/>
      <c r="R39" s="18"/>
      <c r="S39" s="18"/>
      <c r="T39" s="18"/>
      <c r="U39" s="18"/>
      <c r="V39" s="18" t="s">
        <v>22</v>
      </c>
      <c r="W39" s="18"/>
      <c r="X39" s="19" t="s">
        <v>23</v>
      </c>
      <c r="Y39" s="19" t="s">
        <v>24</v>
      </c>
    </row>
    <row r="40" spans="2:25" ht="21.4" x14ac:dyDescent="0.3">
      <c r="B40" s="18"/>
      <c r="C40" s="18"/>
      <c r="D40" s="18"/>
      <c r="E40" s="18"/>
      <c r="F40" s="18"/>
      <c r="G40" s="18"/>
      <c r="H40" s="18"/>
      <c r="I40" s="18"/>
      <c r="J40" s="18"/>
      <c r="K40" s="19" t="s">
        <v>25</v>
      </c>
      <c r="L40" s="19" t="s">
        <v>26</v>
      </c>
      <c r="O40" s="18"/>
      <c r="P40" s="18"/>
      <c r="Q40" s="18"/>
      <c r="R40" s="18"/>
      <c r="S40" s="18"/>
      <c r="T40" s="18"/>
      <c r="U40" s="18"/>
      <c r="V40" s="18"/>
      <c r="W40" s="18"/>
      <c r="X40" s="19" t="s">
        <v>25</v>
      </c>
      <c r="Y40" s="19" t="s">
        <v>26</v>
      </c>
    </row>
  </sheetData>
  <mergeCells count="80">
    <mergeCell ref="C35:G35"/>
    <mergeCell ref="H35:L35"/>
    <mergeCell ref="P35:T35"/>
    <mergeCell ref="U35:Y35"/>
    <mergeCell ref="C36:G37"/>
    <mergeCell ref="H36:L36"/>
    <mergeCell ref="P36:T37"/>
    <mergeCell ref="U36:Y36"/>
    <mergeCell ref="H37:L37"/>
    <mergeCell ref="U37:Y37"/>
    <mergeCell ref="B18:G18"/>
    <mergeCell ref="H18:L18"/>
    <mergeCell ref="O18:T18"/>
    <mergeCell ref="U18:Y18"/>
    <mergeCell ref="C34:G34"/>
    <mergeCell ref="H34:L34"/>
    <mergeCell ref="P34:T34"/>
    <mergeCell ref="U34:Y34"/>
    <mergeCell ref="B16:G16"/>
    <mergeCell ref="H16:L16"/>
    <mergeCell ref="O16:T16"/>
    <mergeCell ref="U16:Y16"/>
    <mergeCell ref="B17:G17"/>
    <mergeCell ref="H17:L17"/>
    <mergeCell ref="O17:T17"/>
    <mergeCell ref="U17:Y17"/>
    <mergeCell ref="B14:G14"/>
    <mergeCell ref="H14:L14"/>
    <mergeCell ref="O14:T14"/>
    <mergeCell ref="U14:Y14"/>
    <mergeCell ref="B15:G15"/>
    <mergeCell ref="H15:L15"/>
    <mergeCell ref="O15:T15"/>
    <mergeCell ref="U15:Y15"/>
    <mergeCell ref="U12:W12"/>
    <mergeCell ref="X12:Y12"/>
    <mergeCell ref="B13:G13"/>
    <mergeCell ref="H13:L13"/>
    <mergeCell ref="O13:T13"/>
    <mergeCell ref="U13:Y13"/>
    <mergeCell ref="B12:D12"/>
    <mergeCell ref="E12:G12"/>
    <mergeCell ref="H12:J12"/>
    <mergeCell ref="K12:L12"/>
    <mergeCell ref="O12:Q12"/>
    <mergeCell ref="R12:T12"/>
    <mergeCell ref="B10:H10"/>
    <mergeCell ref="I10:L10"/>
    <mergeCell ref="O10:U10"/>
    <mergeCell ref="V10:Y10"/>
    <mergeCell ref="B11:H11"/>
    <mergeCell ref="I11:L11"/>
    <mergeCell ref="O11:U11"/>
    <mergeCell ref="V11:Y11"/>
    <mergeCell ref="B8:D8"/>
    <mergeCell ref="K8:L8"/>
    <mergeCell ref="O8:Q8"/>
    <mergeCell ref="X8:Y8"/>
    <mergeCell ref="B9:D9"/>
    <mergeCell ref="K9:L9"/>
    <mergeCell ref="O9:Q9"/>
    <mergeCell ref="X9:Y9"/>
    <mergeCell ref="B5:D5"/>
    <mergeCell ref="O5:Q5"/>
    <mergeCell ref="B6:D6"/>
    <mergeCell ref="O6:Q6"/>
    <mergeCell ref="B7:D7"/>
    <mergeCell ref="O7:Q7"/>
    <mergeCell ref="B3:D3"/>
    <mergeCell ref="E3:G3"/>
    <mergeCell ref="O3:Q3"/>
    <mergeCell ref="R3:T3"/>
    <mergeCell ref="B4:D4"/>
    <mergeCell ref="O4:Q4"/>
    <mergeCell ref="B1:D2"/>
    <mergeCell ref="E1:J1"/>
    <mergeCell ref="O1:Q2"/>
    <mergeCell ref="R1:W1"/>
    <mergeCell ref="E2:G2"/>
    <mergeCell ref="R2:T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40"/>
  <sheetViews>
    <sheetView zoomScale="55" zoomScaleNormal="55" workbookViewId="0">
      <selection activeCell="Y23" sqref="Y23"/>
    </sheetView>
  </sheetViews>
  <sheetFormatPr defaultColWidth="9" defaultRowHeight="13.5" x14ac:dyDescent="0.3"/>
  <cols>
    <col min="1" max="1" width="14.46484375" style="31" customWidth="1"/>
    <col min="2" max="10" width="16.46484375" style="31" customWidth="1"/>
    <col min="11" max="11" width="17.86328125" style="31" customWidth="1"/>
    <col min="12" max="12" width="9" style="31"/>
    <col min="13" max="13" width="14.46484375" style="31" customWidth="1"/>
    <col min="14" max="21" width="16.46484375" style="31" customWidth="1"/>
    <col min="22" max="22" width="14.59765625" style="31" customWidth="1"/>
    <col min="23" max="23" width="17.86328125" style="31" customWidth="1"/>
    <col min="24" max="24" width="11.265625" style="31" customWidth="1"/>
    <col min="25" max="25" width="14.59765625" style="31" customWidth="1"/>
    <col min="26" max="26" width="14.46484375" style="31" customWidth="1"/>
    <col min="27" max="35" width="16.46484375" style="31" customWidth="1"/>
    <col min="36" max="36" width="17.86328125" style="31" customWidth="1"/>
    <col min="37" max="16384" width="9" style="31"/>
  </cols>
  <sheetData>
    <row r="1" spans="2:25" ht="23.25" customHeight="1" thickTop="1" thickBot="1" x14ac:dyDescent="0.35">
      <c r="B1" s="44" t="s">
        <v>0</v>
      </c>
      <c r="C1" s="45"/>
      <c r="D1" s="46"/>
      <c r="E1" s="50" t="s">
        <v>1</v>
      </c>
      <c r="F1" s="51"/>
      <c r="G1" s="51"/>
      <c r="H1" s="51"/>
      <c r="I1" s="51"/>
      <c r="J1" s="52"/>
      <c r="K1" s="33"/>
      <c r="L1" s="34"/>
      <c r="O1" s="44" t="s">
        <v>0</v>
      </c>
      <c r="P1" s="45"/>
      <c r="Q1" s="46"/>
      <c r="R1" s="50" t="s">
        <v>1</v>
      </c>
      <c r="S1" s="51"/>
      <c r="T1" s="51"/>
      <c r="U1" s="51"/>
      <c r="V1" s="51"/>
      <c r="W1" s="52"/>
      <c r="X1" s="33"/>
      <c r="Y1" s="34"/>
    </row>
    <row r="2" spans="2:25" ht="23.25" customHeight="1" thickTop="1" thickBot="1" x14ac:dyDescent="0.35">
      <c r="B2" s="47"/>
      <c r="C2" s="48"/>
      <c r="D2" s="49"/>
      <c r="E2" s="53" t="s">
        <v>2</v>
      </c>
      <c r="F2" s="54"/>
      <c r="G2" s="55"/>
      <c r="H2" s="1" t="s">
        <v>3</v>
      </c>
      <c r="I2" s="2" t="s">
        <v>4</v>
      </c>
      <c r="J2" s="3" t="s">
        <v>5</v>
      </c>
      <c r="K2" s="18"/>
      <c r="L2" s="30"/>
      <c r="O2" s="47"/>
      <c r="P2" s="48"/>
      <c r="Q2" s="49"/>
      <c r="R2" s="53" t="s">
        <v>2</v>
      </c>
      <c r="S2" s="54"/>
      <c r="T2" s="55"/>
      <c r="U2" s="1" t="s">
        <v>3</v>
      </c>
      <c r="V2" s="2" t="s">
        <v>4</v>
      </c>
      <c r="W2" s="3" t="s">
        <v>5</v>
      </c>
      <c r="X2" s="18"/>
      <c r="Y2" s="30"/>
    </row>
    <row r="3" spans="2:25" ht="24" customHeight="1" thickTop="1" x14ac:dyDescent="0.35">
      <c r="B3" s="56" t="s">
        <v>16</v>
      </c>
      <c r="C3" s="57"/>
      <c r="D3" s="58"/>
      <c r="E3" s="59" t="s">
        <v>6</v>
      </c>
      <c r="F3" s="60"/>
      <c r="G3" s="61"/>
      <c r="H3" s="29" t="s">
        <v>7</v>
      </c>
      <c r="I3" s="4">
        <v>45656</v>
      </c>
      <c r="J3" s="5">
        <v>46020</v>
      </c>
      <c r="K3" s="35"/>
      <c r="L3" s="30"/>
      <c r="O3" s="56" t="s">
        <v>16</v>
      </c>
      <c r="P3" s="57"/>
      <c r="Q3" s="58"/>
      <c r="R3" s="59" t="s">
        <v>6</v>
      </c>
      <c r="S3" s="60"/>
      <c r="T3" s="61"/>
      <c r="U3" s="29" t="s">
        <v>7</v>
      </c>
      <c r="V3" s="4">
        <v>45656</v>
      </c>
      <c r="W3" s="5">
        <v>46020</v>
      </c>
      <c r="X3" s="35"/>
      <c r="Y3" s="30"/>
    </row>
    <row r="4" spans="2:25" ht="21.75" customHeight="1" x14ac:dyDescent="0.3">
      <c r="B4" s="62" t="s">
        <v>17</v>
      </c>
      <c r="C4" s="63"/>
      <c r="D4" s="64"/>
      <c r="E4" s="23"/>
      <c r="F4" s="24"/>
      <c r="G4" s="25"/>
      <c r="H4" s="22"/>
      <c r="I4" s="6"/>
      <c r="J4" s="7"/>
      <c r="K4" s="18"/>
      <c r="L4" s="30"/>
      <c r="O4" s="62" t="s">
        <v>17</v>
      </c>
      <c r="P4" s="63"/>
      <c r="Q4" s="64"/>
      <c r="R4" s="23"/>
      <c r="S4" s="24"/>
      <c r="T4" s="25"/>
      <c r="U4" s="22"/>
      <c r="V4" s="6"/>
      <c r="W4" s="7"/>
      <c r="X4" s="18"/>
      <c r="Y4" s="30"/>
    </row>
    <row r="5" spans="2:25" ht="24.4" x14ac:dyDescent="0.3">
      <c r="B5" s="65" t="s">
        <v>18</v>
      </c>
      <c r="C5" s="63"/>
      <c r="D5" s="64"/>
      <c r="E5" s="23"/>
      <c r="F5" s="24"/>
      <c r="G5" s="25"/>
      <c r="H5" s="22"/>
      <c r="I5" s="6"/>
      <c r="J5" s="7"/>
      <c r="K5" s="8"/>
      <c r="L5" s="36"/>
      <c r="O5" s="65" t="s">
        <v>18</v>
      </c>
      <c r="P5" s="63"/>
      <c r="Q5" s="64"/>
      <c r="R5" s="23"/>
      <c r="S5" s="24"/>
      <c r="T5" s="25"/>
      <c r="U5" s="22"/>
      <c r="V5" s="6"/>
      <c r="W5" s="7"/>
      <c r="X5" s="8"/>
      <c r="Y5" s="36"/>
    </row>
    <row r="6" spans="2:25" ht="24.4" x14ac:dyDescent="0.3">
      <c r="B6" s="65" t="s">
        <v>19</v>
      </c>
      <c r="C6" s="63"/>
      <c r="D6" s="64"/>
      <c r="E6" s="23"/>
      <c r="F6" s="24"/>
      <c r="G6" s="25"/>
      <c r="H6" s="22"/>
      <c r="I6" s="6"/>
      <c r="J6" s="7"/>
      <c r="K6" s="8"/>
      <c r="L6" s="36"/>
      <c r="O6" s="65" t="s">
        <v>19</v>
      </c>
      <c r="P6" s="63"/>
      <c r="Q6" s="64"/>
      <c r="R6" s="23"/>
      <c r="S6" s="24"/>
      <c r="T6" s="25"/>
      <c r="U6" s="22"/>
      <c r="V6" s="6"/>
      <c r="W6" s="7"/>
      <c r="X6" s="8"/>
      <c r="Y6" s="36"/>
    </row>
    <row r="7" spans="2:25" ht="24.75" thickBot="1" x14ac:dyDescent="0.35">
      <c r="B7" s="66" t="s">
        <v>20</v>
      </c>
      <c r="C7" s="67"/>
      <c r="D7" s="68"/>
      <c r="E7" s="23"/>
      <c r="F7" s="24"/>
      <c r="G7" s="25"/>
      <c r="H7" s="22"/>
      <c r="I7" s="6"/>
      <c r="J7" s="7"/>
      <c r="K7" s="8"/>
      <c r="L7" s="36"/>
      <c r="O7" s="66" t="s">
        <v>20</v>
      </c>
      <c r="P7" s="67"/>
      <c r="Q7" s="68"/>
      <c r="R7" s="23"/>
      <c r="S7" s="24"/>
      <c r="T7" s="25"/>
      <c r="U7" s="22"/>
      <c r="V7" s="6"/>
      <c r="W7" s="7"/>
      <c r="X7" s="8"/>
      <c r="Y7" s="36"/>
    </row>
    <row r="8" spans="2:25" ht="21.75" thickTop="1" x14ac:dyDescent="0.3">
      <c r="B8" s="69" t="s">
        <v>54</v>
      </c>
      <c r="C8" s="70"/>
      <c r="D8" s="70"/>
      <c r="E8" s="23"/>
      <c r="F8" s="24"/>
      <c r="G8" s="25"/>
      <c r="H8" s="22"/>
      <c r="I8" s="6"/>
      <c r="J8" s="7"/>
      <c r="K8" s="71" t="s">
        <v>53</v>
      </c>
      <c r="L8" s="72"/>
      <c r="O8" s="69" t="s">
        <v>70</v>
      </c>
      <c r="P8" s="70"/>
      <c r="Q8" s="70"/>
      <c r="R8" s="23"/>
      <c r="S8" s="24"/>
      <c r="T8" s="25"/>
      <c r="U8" s="22"/>
      <c r="V8" s="6"/>
      <c r="W8" s="7"/>
      <c r="X8" s="71" t="s">
        <v>45</v>
      </c>
      <c r="Y8" s="72"/>
    </row>
    <row r="9" spans="2:25" ht="21.75" thickBot="1" x14ac:dyDescent="0.35">
      <c r="B9" s="69" t="s">
        <v>50</v>
      </c>
      <c r="C9" s="70"/>
      <c r="D9" s="70"/>
      <c r="E9" s="26"/>
      <c r="F9" s="27"/>
      <c r="G9" s="28"/>
      <c r="H9" s="21"/>
      <c r="I9" s="9"/>
      <c r="J9" s="10"/>
      <c r="K9" s="73" t="s">
        <v>52</v>
      </c>
      <c r="L9" s="74"/>
      <c r="O9" s="69" t="s">
        <v>71</v>
      </c>
      <c r="P9" s="70"/>
      <c r="Q9" s="70"/>
      <c r="R9" s="26"/>
      <c r="S9" s="27"/>
      <c r="T9" s="28"/>
      <c r="U9" s="21"/>
      <c r="V9" s="9"/>
      <c r="W9" s="10"/>
      <c r="X9" s="73" t="s">
        <v>47</v>
      </c>
      <c r="Y9" s="74"/>
    </row>
    <row r="10" spans="2:25" ht="21.75" thickTop="1" x14ac:dyDescent="0.3">
      <c r="B10" s="75" t="s">
        <v>30</v>
      </c>
      <c r="C10" s="76"/>
      <c r="D10" s="76"/>
      <c r="E10" s="76"/>
      <c r="F10" s="76"/>
      <c r="G10" s="76"/>
      <c r="H10" s="77"/>
      <c r="I10" s="78" t="s">
        <v>60</v>
      </c>
      <c r="J10" s="79"/>
      <c r="K10" s="79"/>
      <c r="L10" s="72"/>
      <c r="O10" s="75" t="s">
        <v>72</v>
      </c>
      <c r="P10" s="76"/>
      <c r="Q10" s="76"/>
      <c r="R10" s="76"/>
      <c r="S10" s="76"/>
      <c r="T10" s="76"/>
      <c r="U10" s="77"/>
      <c r="V10" s="78" t="s">
        <v>59</v>
      </c>
      <c r="W10" s="79"/>
      <c r="X10" s="79"/>
      <c r="Y10" s="72"/>
    </row>
    <row r="11" spans="2:25" ht="21.4" x14ac:dyDescent="0.3">
      <c r="B11" s="80" t="s">
        <v>62</v>
      </c>
      <c r="C11" s="81"/>
      <c r="D11" s="81"/>
      <c r="E11" s="81"/>
      <c r="F11" s="81"/>
      <c r="G11" s="81"/>
      <c r="H11" s="82"/>
      <c r="I11" s="83" t="s">
        <v>63</v>
      </c>
      <c r="J11" s="84"/>
      <c r="K11" s="84"/>
      <c r="L11" s="85"/>
      <c r="O11" s="80" t="s">
        <v>62</v>
      </c>
      <c r="P11" s="81"/>
      <c r="Q11" s="81"/>
      <c r="R11" s="81"/>
      <c r="S11" s="81"/>
      <c r="T11" s="81"/>
      <c r="U11" s="82"/>
      <c r="V11" s="83" t="s">
        <v>63</v>
      </c>
      <c r="W11" s="84"/>
      <c r="X11" s="84"/>
      <c r="Y11" s="85"/>
    </row>
    <row r="12" spans="2:25" ht="21.4" x14ac:dyDescent="0.3">
      <c r="B12" s="69" t="s">
        <v>31</v>
      </c>
      <c r="C12" s="70"/>
      <c r="D12" s="70"/>
      <c r="E12" s="70" t="s">
        <v>39</v>
      </c>
      <c r="F12" s="70"/>
      <c r="G12" s="70"/>
      <c r="H12" s="83" t="s">
        <v>15</v>
      </c>
      <c r="I12" s="84"/>
      <c r="J12" s="86"/>
      <c r="K12" s="87" t="s">
        <v>64</v>
      </c>
      <c r="L12" s="74"/>
      <c r="O12" s="69" t="s">
        <v>31</v>
      </c>
      <c r="P12" s="70"/>
      <c r="Q12" s="70"/>
      <c r="R12" s="70" t="s">
        <v>39</v>
      </c>
      <c r="S12" s="70"/>
      <c r="T12" s="70"/>
      <c r="U12" s="83" t="s">
        <v>15</v>
      </c>
      <c r="V12" s="84"/>
      <c r="W12" s="86"/>
      <c r="X12" s="87" t="s">
        <v>64</v>
      </c>
      <c r="Y12" s="74"/>
    </row>
    <row r="13" spans="2:25" ht="21.4" x14ac:dyDescent="0.3">
      <c r="B13" s="88" t="s">
        <v>8</v>
      </c>
      <c r="C13" s="89"/>
      <c r="D13" s="89"/>
      <c r="E13" s="89"/>
      <c r="F13" s="89"/>
      <c r="G13" s="90"/>
      <c r="H13" s="91" t="s">
        <v>8</v>
      </c>
      <c r="I13" s="92"/>
      <c r="J13" s="92"/>
      <c r="K13" s="92"/>
      <c r="L13" s="93"/>
      <c r="O13" s="88" t="s">
        <v>8</v>
      </c>
      <c r="P13" s="89"/>
      <c r="Q13" s="89"/>
      <c r="R13" s="89"/>
      <c r="S13" s="89"/>
      <c r="T13" s="90"/>
      <c r="U13" s="91" t="s">
        <v>8</v>
      </c>
      <c r="V13" s="92"/>
      <c r="W13" s="92"/>
      <c r="X13" s="92"/>
      <c r="Y13" s="93"/>
    </row>
    <row r="14" spans="2:25" ht="21.4" x14ac:dyDescent="0.3">
      <c r="B14" s="94" t="s">
        <v>48</v>
      </c>
      <c r="C14" s="84"/>
      <c r="D14" s="84"/>
      <c r="E14" s="84"/>
      <c r="F14" s="84"/>
      <c r="G14" s="84"/>
      <c r="H14" s="70" t="s">
        <v>78</v>
      </c>
      <c r="I14" s="70"/>
      <c r="J14" s="70"/>
      <c r="K14" s="70"/>
      <c r="L14" s="95"/>
      <c r="O14" s="94" t="s">
        <v>48</v>
      </c>
      <c r="P14" s="84"/>
      <c r="Q14" s="84"/>
      <c r="R14" s="84"/>
      <c r="S14" s="84"/>
      <c r="T14" s="84"/>
      <c r="U14" s="70" t="s">
        <v>78</v>
      </c>
      <c r="V14" s="70"/>
      <c r="W14" s="70"/>
      <c r="X14" s="70"/>
      <c r="Y14" s="95"/>
    </row>
    <row r="15" spans="2:25" ht="21.4" x14ac:dyDescent="0.3">
      <c r="B15" s="94" t="s">
        <v>33</v>
      </c>
      <c r="C15" s="84"/>
      <c r="D15" s="84"/>
      <c r="E15" s="84"/>
      <c r="F15" s="84"/>
      <c r="G15" s="84"/>
      <c r="H15" s="70" t="s">
        <v>79</v>
      </c>
      <c r="I15" s="70"/>
      <c r="J15" s="70"/>
      <c r="K15" s="70"/>
      <c r="L15" s="95"/>
      <c r="O15" s="94" t="s">
        <v>33</v>
      </c>
      <c r="P15" s="84"/>
      <c r="Q15" s="84"/>
      <c r="R15" s="84"/>
      <c r="S15" s="84"/>
      <c r="T15" s="84"/>
      <c r="U15" s="70" t="s">
        <v>79</v>
      </c>
      <c r="V15" s="70"/>
      <c r="W15" s="70"/>
      <c r="X15" s="70"/>
      <c r="Y15" s="95"/>
    </row>
    <row r="16" spans="2:25" ht="21.4" x14ac:dyDescent="0.3">
      <c r="B16" s="94" t="s">
        <v>34</v>
      </c>
      <c r="C16" s="84"/>
      <c r="D16" s="84"/>
      <c r="E16" s="84"/>
      <c r="F16" s="84"/>
      <c r="G16" s="84"/>
      <c r="H16" s="70" t="s">
        <v>80</v>
      </c>
      <c r="I16" s="70"/>
      <c r="J16" s="70"/>
      <c r="K16" s="70"/>
      <c r="L16" s="95"/>
      <c r="O16" s="94" t="s">
        <v>34</v>
      </c>
      <c r="P16" s="84"/>
      <c r="Q16" s="84"/>
      <c r="R16" s="84"/>
      <c r="S16" s="84"/>
      <c r="T16" s="84"/>
      <c r="U16" s="70" t="s">
        <v>80</v>
      </c>
      <c r="V16" s="70"/>
      <c r="W16" s="70"/>
      <c r="X16" s="70"/>
      <c r="Y16" s="95"/>
    </row>
    <row r="17" spans="2:25" ht="21.4" x14ac:dyDescent="0.3">
      <c r="B17" s="94" t="s">
        <v>35</v>
      </c>
      <c r="C17" s="84"/>
      <c r="D17" s="84"/>
      <c r="E17" s="84"/>
      <c r="F17" s="84"/>
      <c r="G17" s="84"/>
      <c r="H17" s="70" t="s">
        <v>81</v>
      </c>
      <c r="I17" s="70"/>
      <c r="J17" s="70"/>
      <c r="K17" s="70"/>
      <c r="L17" s="95"/>
      <c r="O17" s="94" t="s">
        <v>35</v>
      </c>
      <c r="P17" s="84"/>
      <c r="Q17" s="84"/>
      <c r="R17" s="84"/>
      <c r="S17" s="84"/>
      <c r="T17" s="84"/>
      <c r="U17" s="70" t="s">
        <v>81</v>
      </c>
      <c r="V17" s="70"/>
      <c r="W17" s="70"/>
      <c r="X17" s="70"/>
      <c r="Y17" s="95"/>
    </row>
    <row r="18" spans="2:25" ht="21.4" x14ac:dyDescent="0.3">
      <c r="B18" s="94" t="s">
        <v>36</v>
      </c>
      <c r="C18" s="84"/>
      <c r="D18" s="84"/>
      <c r="E18" s="84"/>
      <c r="F18" s="84"/>
      <c r="G18" s="84"/>
      <c r="H18" s="70" t="s">
        <v>82</v>
      </c>
      <c r="I18" s="70"/>
      <c r="J18" s="70"/>
      <c r="K18" s="70"/>
      <c r="L18" s="95"/>
      <c r="O18" s="94" t="s">
        <v>36</v>
      </c>
      <c r="P18" s="84"/>
      <c r="Q18" s="84"/>
      <c r="R18" s="84"/>
      <c r="S18" s="84"/>
      <c r="T18" s="84"/>
      <c r="U18" s="70" t="s">
        <v>82</v>
      </c>
      <c r="V18" s="70"/>
      <c r="W18" s="70"/>
      <c r="X18" s="70"/>
      <c r="Y18" s="95"/>
    </row>
    <row r="19" spans="2:25" ht="21.4" x14ac:dyDescent="0.3">
      <c r="B19" s="11"/>
      <c r="C19" s="12">
        <v>1</v>
      </c>
      <c r="D19" s="12">
        <v>2</v>
      </c>
      <c r="E19" s="13">
        <v>3</v>
      </c>
      <c r="F19" s="13">
        <v>4</v>
      </c>
      <c r="G19" s="12">
        <v>5</v>
      </c>
      <c r="H19" s="13">
        <v>6</v>
      </c>
      <c r="I19" s="13">
        <v>7</v>
      </c>
      <c r="J19" s="13">
        <v>8</v>
      </c>
      <c r="K19" s="13">
        <v>9</v>
      </c>
      <c r="L19" s="14">
        <v>10</v>
      </c>
      <c r="O19" s="11"/>
      <c r="P19" s="12">
        <v>1</v>
      </c>
      <c r="Q19" s="12">
        <v>2</v>
      </c>
      <c r="R19" s="13">
        <v>3</v>
      </c>
      <c r="S19" s="13">
        <v>4</v>
      </c>
      <c r="T19" s="12">
        <v>5</v>
      </c>
      <c r="U19" s="13">
        <v>6</v>
      </c>
      <c r="V19" s="13">
        <v>7</v>
      </c>
      <c r="W19" s="13">
        <v>8</v>
      </c>
      <c r="X19" s="13">
        <v>9</v>
      </c>
      <c r="Y19" s="14">
        <v>10</v>
      </c>
    </row>
    <row r="20" spans="2:25" ht="21.4" x14ac:dyDescent="0.3">
      <c r="B20" s="15" t="s">
        <v>9</v>
      </c>
      <c r="C20" s="16" t="s">
        <v>37</v>
      </c>
      <c r="D20" s="16" t="s">
        <v>37</v>
      </c>
      <c r="E20" s="16" t="s">
        <v>37</v>
      </c>
      <c r="F20" s="16" t="s">
        <v>37</v>
      </c>
      <c r="G20" s="16" t="s">
        <v>37</v>
      </c>
      <c r="H20" s="16" t="s">
        <v>28</v>
      </c>
      <c r="I20" s="16" t="s">
        <v>28</v>
      </c>
      <c r="J20" s="16" t="s">
        <v>28</v>
      </c>
      <c r="K20" s="16" t="s">
        <v>28</v>
      </c>
      <c r="L20" s="37" t="s">
        <v>28</v>
      </c>
      <c r="O20" s="15" t="s">
        <v>9</v>
      </c>
      <c r="P20" s="16" t="s">
        <v>37</v>
      </c>
      <c r="Q20" s="16" t="s">
        <v>37</v>
      </c>
      <c r="R20" s="16" t="s">
        <v>37</v>
      </c>
      <c r="S20" s="16" t="s">
        <v>37</v>
      </c>
      <c r="T20" s="16" t="s">
        <v>37</v>
      </c>
      <c r="U20" s="16" t="s">
        <v>28</v>
      </c>
      <c r="V20" s="16" t="s">
        <v>28</v>
      </c>
      <c r="W20" s="16" t="s">
        <v>28</v>
      </c>
      <c r="X20" s="16" t="s">
        <v>28</v>
      </c>
      <c r="Y20" s="37" t="s">
        <v>28</v>
      </c>
    </row>
    <row r="21" spans="2:25" ht="64.150000000000006" x14ac:dyDescent="0.3">
      <c r="B21" s="38" t="s">
        <v>10</v>
      </c>
      <c r="C21" s="17" t="s">
        <v>40</v>
      </c>
      <c r="D21" s="17" t="s">
        <v>41</v>
      </c>
      <c r="E21" s="17" t="s">
        <v>42</v>
      </c>
      <c r="F21" s="17" t="s">
        <v>43</v>
      </c>
      <c r="G21" s="17" t="s">
        <v>44</v>
      </c>
      <c r="H21" s="17" t="s">
        <v>40</v>
      </c>
      <c r="I21" s="17" t="s">
        <v>41</v>
      </c>
      <c r="J21" s="17" t="s">
        <v>42</v>
      </c>
      <c r="K21" s="17" t="s">
        <v>43</v>
      </c>
      <c r="L21" s="17" t="s">
        <v>44</v>
      </c>
      <c r="O21" s="38" t="s">
        <v>10</v>
      </c>
      <c r="P21" s="17" t="s">
        <v>40</v>
      </c>
      <c r="Q21" s="17" t="s">
        <v>41</v>
      </c>
      <c r="R21" s="17" t="s">
        <v>42</v>
      </c>
      <c r="S21" s="17" t="s">
        <v>43</v>
      </c>
      <c r="T21" s="17" t="s">
        <v>44</v>
      </c>
      <c r="U21" s="17" t="s">
        <v>40</v>
      </c>
      <c r="V21" s="17" t="s">
        <v>41</v>
      </c>
      <c r="W21" s="17" t="s">
        <v>42</v>
      </c>
      <c r="X21" s="17" t="s">
        <v>43</v>
      </c>
      <c r="Y21" s="17" t="s">
        <v>44</v>
      </c>
    </row>
    <row r="22" spans="2:25" ht="21.4" x14ac:dyDescent="0.3">
      <c r="B22" s="39" t="s">
        <v>65</v>
      </c>
      <c r="C22" s="32" t="s">
        <v>29</v>
      </c>
      <c r="D22" s="32" t="s">
        <v>29</v>
      </c>
      <c r="E22" s="32" t="s">
        <v>29</v>
      </c>
      <c r="F22" s="32" t="s">
        <v>29</v>
      </c>
      <c r="G22" s="32" t="s">
        <v>29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O22" s="39" t="s">
        <v>65</v>
      </c>
      <c r="P22" s="32" t="s">
        <v>29</v>
      </c>
      <c r="Q22" s="32" t="s">
        <v>29</v>
      </c>
      <c r="R22" s="32" t="s">
        <v>29</v>
      </c>
      <c r="S22" s="32" t="s">
        <v>29</v>
      </c>
      <c r="T22" s="32" t="s">
        <v>29</v>
      </c>
      <c r="U22" s="32">
        <v>6.8</v>
      </c>
      <c r="V22" s="32">
        <v>5.7</v>
      </c>
      <c r="W22" s="32">
        <v>4.2</v>
      </c>
      <c r="X22" s="32">
        <v>6.5</v>
      </c>
      <c r="Y22" s="32">
        <v>3.5</v>
      </c>
    </row>
    <row r="23" spans="2:25" ht="21.4" x14ac:dyDescent="0.3">
      <c r="B23" s="39"/>
      <c r="C23" s="32"/>
      <c r="D23" s="32"/>
      <c r="E23" s="32"/>
      <c r="F23" s="32"/>
      <c r="G23" s="32"/>
      <c r="H23" s="32"/>
      <c r="I23" s="32"/>
      <c r="J23" s="32"/>
      <c r="K23" s="32"/>
      <c r="L23" s="32"/>
      <c r="O23" s="39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2:25" ht="21.4" x14ac:dyDescent="0.3">
      <c r="B24" s="39"/>
      <c r="C24" s="32"/>
      <c r="D24" s="32"/>
      <c r="E24" s="32"/>
      <c r="F24" s="32"/>
      <c r="G24" s="32"/>
      <c r="H24" s="32"/>
      <c r="I24" s="32"/>
      <c r="J24" s="32"/>
      <c r="K24" s="32"/>
      <c r="L24" s="32"/>
      <c r="O24" s="39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2:25" ht="21.4" x14ac:dyDescent="0.3">
      <c r="B25" s="40"/>
      <c r="C25" s="20"/>
      <c r="D25" s="20"/>
      <c r="E25" s="20"/>
      <c r="F25" s="20"/>
      <c r="G25" s="20"/>
      <c r="H25" s="20"/>
      <c r="I25" s="20"/>
      <c r="J25" s="20"/>
      <c r="K25" s="20"/>
      <c r="L25" s="41"/>
      <c r="O25" s="40"/>
      <c r="P25" s="20"/>
      <c r="Q25" s="20"/>
      <c r="R25" s="20"/>
      <c r="S25" s="20"/>
      <c r="T25" s="20"/>
      <c r="U25" s="20"/>
      <c r="V25" s="20"/>
      <c r="W25" s="20"/>
      <c r="X25" s="20"/>
      <c r="Y25" s="41"/>
    </row>
    <row r="26" spans="2:25" ht="21.4" x14ac:dyDescent="0.3">
      <c r="B26" s="40"/>
      <c r="C26" s="20"/>
      <c r="D26" s="20"/>
      <c r="E26" s="20"/>
      <c r="F26" s="20"/>
      <c r="G26" s="20"/>
      <c r="H26" s="20"/>
      <c r="I26" s="20"/>
      <c r="J26" s="20"/>
      <c r="K26" s="20"/>
      <c r="L26" s="41"/>
      <c r="O26" s="40"/>
      <c r="P26" s="20"/>
      <c r="Q26" s="20"/>
      <c r="R26" s="20"/>
      <c r="S26" s="20"/>
      <c r="T26" s="20"/>
      <c r="U26" s="20"/>
      <c r="V26" s="20"/>
      <c r="W26" s="20"/>
      <c r="X26" s="20"/>
      <c r="Y26" s="41"/>
    </row>
    <row r="27" spans="2:25" ht="21.4" x14ac:dyDescent="0.3">
      <c r="B27" s="40"/>
      <c r="C27" s="20"/>
      <c r="D27" s="20"/>
      <c r="E27" s="20"/>
      <c r="F27" s="20"/>
      <c r="G27" s="20"/>
      <c r="H27" s="20"/>
      <c r="I27" s="20"/>
      <c r="J27" s="20"/>
      <c r="K27" s="20"/>
      <c r="L27" s="41"/>
      <c r="O27" s="40"/>
      <c r="P27" s="20"/>
      <c r="Q27" s="20"/>
      <c r="R27" s="20"/>
      <c r="S27" s="20"/>
      <c r="T27" s="20"/>
      <c r="U27" s="20"/>
      <c r="V27" s="20"/>
      <c r="W27" s="20"/>
      <c r="X27" s="20"/>
      <c r="Y27" s="41"/>
    </row>
    <row r="28" spans="2:25" ht="21.4" x14ac:dyDescent="0.3">
      <c r="B28" s="40"/>
      <c r="C28" s="20"/>
      <c r="D28" s="20"/>
      <c r="E28" s="20"/>
      <c r="F28" s="20"/>
      <c r="G28" s="20"/>
      <c r="H28" s="20"/>
      <c r="I28" s="20"/>
      <c r="J28" s="20"/>
      <c r="K28" s="20"/>
      <c r="L28" s="41"/>
      <c r="O28" s="40"/>
      <c r="P28" s="20"/>
      <c r="Q28" s="20"/>
      <c r="R28" s="20"/>
      <c r="S28" s="20"/>
      <c r="T28" s="20"/>
      <c r="U28" s="20"/>
      <c r="V28" s="20"/>
      <c r="W28" s="20"/>
      <c r="X28" s="20"/>
      <c r="Y28" s="41"/>
    </row>
    <row r="29" spans="2:25" ht="21.4" x14ac:dyDescent="0.3">
      <c r="B29" s="40"/>
      <c r="C29" s="20"/>
      <c r="D29" s="20"/>
      <c r="E29" s="20"/>
      <c r="F29" s="20"/>
      <c r="G29" s="20"/>
      <c r="H29" s="20"/>
      <c r="I29" s="20"/>
      <c r="J29" s="20"/>
      <c r="K29" s="20"/>
      <c r="L29" s="41"/>
      <c r="O29" s="40"/>
      <c r="P29" s="20"/>
      <c r="Q29" s="20"/>
      <c r="R29" s="20"/>
      <c r="S29" s="20"/>
      <c r="T29" s="20"/>
      <c r="U29" s="20"/>
      <c r="V29" s="20"/>
      <c r="W29" s="20"/>
      <c r="X29" s="20"/>
      <c r="Y29" s="41"/>
    </row>
    <row r="30" spans="2:25" ht="21.4" x14ac:dyDescent="0.3">
      <c r="B30" s="40"/>
      <c r="C30" s="20"/>
      <c r="D30" s="20"/>
      <c r="E30" s="20"/>
      <c r="F30" s="20"/>
      <c r="G30" s="20"/>
      <c r="H30" s="20"/>
      <c r="I30" s="20"/>
      <c r="J30" s="20"/>
      <c r="K30" s="20"/>
      <c r="L30" s="41"/>
      <c r="O30" s="40"/>
      <c r="P30" s="20"/>
      <c r="Q30" s="20"/>
      <c r="R30" s="20"/>
      <c r="S30" s="20"/>
      <c r="T30" s="20"/>
      <c r="U30" s="20"/>
      <c r="V30" s="20"/>
      <c r="W30" s="20"/>
      <c r="X30" s="20"/>
      <c r="Y30" s="41"/>
    </row>
    <row r="31" spans="2:25" ht="21.4" x14ac:dyDescent="0.3">
      <c r="B31" s="40"/>
      <c r="C31" s="20"/>
      <c r="D31" s="20"/>
      <c r="E31" s="20"/>
      <c r="F31" s="20"/>
      <c r="G31" s="20"/>
      <c r="H31" s="20"/>
      <c r="I31" s="20"/>
      <c r="J31" s="20"/>
      <c r="K31" s="20"/>
      <c r="L31" s="41"/>
      <c r="O31" s="40"/>
      <c r="P31" s="20"/>
      <c r="Q31" s="20"/>
      <c r="R31" s="20"/>
      <c r="S31" s="20"/>
      <c r="T31" s="20"/>
      <c r="U31" s="20"/>
      <c r="V31" s="20"/>
      <c r="W31" s="20"/>
      <c r="X31" s="20"/>
      <c r="Y31" s="41"/>
    </row>
    <row r="32" spans="2:25" ht="21.4" x14ac:dyDescent="0.3">
      <c r="B32" s="40"/>
      <c r="C32" s="20"/>
      <c r="D32" s="20"/>
      <c r="E32" s="20"/>
      <c r="F32" s="20"/>
      <c r="G32" s="20"/>
      <c r="H32" s="20"/>
      <c r="I32" s="20"/>
      <c r="J32" s="20"/>
      <c r="K32" s="20"/>
      <c r="L32" s="41"/>
      <c r="O32" s="40"/>
      <c r="P32" s="20"/>
      <c r="Q32" s="20"/>
      <c r="R32" s="20"/>
      <c r="S32" s="20"/>
      <c r="T32" s="20"/>
      <c r="U32" s="20"/>
      <c r="V32" s="20"/>
      <c r="W32" s="20"/>
      <c r="X32" s="20"/>
      <c r="Y32" s="41"/>
    </row>
    <row r="33" spans="2:25" ht="21.4" x14ac:dyDescent="0.3">
      <c r="B33" s="40"/>
      <c r="C33" s="20"/>
      <c r="D33" s="20"/>
      <c r="E33" s="20"/>
      <c r="F33" s="20"/>
      <c r="G33" s="20"/>
      <c r="H33" s="20"/>
      <c r="I33" s="20"/>
      <c r="J33" s="20"/>
      <c r="K33" s="20"/>
      <c r="L33" s="41"/>
      <c r="O33" s="40"/>
      <c r="P33" s="20"/>
      <c r="Q33" s="20"/>
      <c r="R33" s="20"/>
      <c r="S33" s="20"/>
      <c r="T33" s="20"/>
      <c r="U33" s="20"/>
      <c r="V33" s="20"/>
      <c r="W33" s="20"/>
      <c r="X33" s="20"/>
      <c r="Y33" s="41"/>
    </row>
    <row r="34" spans="2:25" ht="21.4" x14ac:dyDescent="0.3">
      <c r="B34" s="42" t="s">
        <v>12</v>
      </c>
      <c r="C34" s="96" t="s">
        <v>27</v>
      </c>
      <c r="D34" s="96"/>
      <c r="E34" s="96"/>
      <c r="F34" s="96"/>
      <c r="G34" s="96"/>
      <c r="H34" s="96">
        <f>MIN(H22:L33)</f>
        <v>0</v>
      </c>
      <c r="I34" s="96"/>
      <c r="J34" s="96"/>
      <c r="K34" s="96"/>
      <c r="L34" s="97"/>
      <c r="O34" s="42" t="s">
        <v>12</v>
      </c>
      <c r="P34" s="96" t="s">
        <v>27</v>
      </c>
      <c r="Q34" s="96"/>
      <c r="R34" s="96"/>
      <c r="S34" s="96"/>
      <c r="T34" s="96"/>
      <c r="U34" s="96">
        <f>MIN(U22:Y33)</f>
        <v>3.5</v>
      </c>
      <c r="V34" s="96"/>
      <c r="W34" s="96"/>
      <c r="X34" s="96"/>
      <c r="Y34" s="97"/>
    </row>
    <row r="35" spans="2:25" ht="21.4" x14ac:dyDescent="0.3">
      <c r="B35" s="42" t="s">
        <v>11</v>
      </c>
      <c r="C35" s="96" t="s">
        <v>27</v>
      </c>
      <c r="D35" s="96"/>
      <c r="E35" s="96"/>
      <c r="F35" s="96"/>
      <c r="G35" s="96"/>
      <c r="H35" s="96">
        <f>MAX(H22:L33)</f>
        <v>0</v>
      </c>
      <c r="I35" s="96"/>
      <c r="J35" s="96"/>
      <c r="K35" s="96"/>
      <c r="L35" s="97"/>
      <c r="O35" s="42" t="s">
        <v>11</v>
      </c>
      <c r="P35" s="96" t="s">
        <v>27</v>
      </c>
      <c r="Q35" s="96"/>
      <c r="R35" s="96"/>
      <c r="S35" s="96"/>
      <c r="T35" s="96"/>
      <c r="U35" s="96">
        <f>MAX(U22:Y33)</f>
        <v>6.8</v>
      </c>
      <c r="V35" s="96"/>
      <c r="W35" s="96"/>
      <c r="X35" s="96"/>
      <c r="Y35" s="97"/>
    </row>
    <row r="36" spans="2:25" ht="21.4" x14ac:dyDescent="0.3">
      <c r="B36" s="42" t="s">
        <v>13</v>
      </c>
      <c r="C36" s="98" t="s">
        <v>27</v>
      </c>
      <c r="D36" s="99"/>
      <c r="E36" s="99"/>
      <c r="F36" s="99"/>
      <c r="G36" s="100"/>
      <c r="H36" s="96">
        <f>AVERAGE(H22:L33)</f>
        <v>0</v>
      </c>
      <c r="I36" s="96"/>
      <c r="J36" s="96"/>
      <c r="K36" s="96"/>
      <c r="L36" s="97"/>
      <c r="O36" s="42" t="s">
        <v>13</v>
      </c>
      <c r="P36" s="98" t="s">
        <v>27</v>
      </c>
      <c r="Q36" s="99"/>
      <c r="R36" s="99"/>
      <c r="S36" s="99"/>
      <c r="T36" s="100"/>
      <c r="U36" s="96">
        <f>AVERAGE(U22:Y33)</f>
        <v>5.34</v>
      </c>
      <c r="V36" s="96"/>
      <c r="W36" s="96"/>
      <c r="X36" s="96"/>
      <c r="Y36" s="97"/>
    </row>
    <row r="37" spans="2:25" ht="21.75" thickBot="1" x14ac:dyDescent="0.35">
      <c r="B37" s="43" t="s">
        <v>14</v>
      </c>
      <c r="C37" s="101"/>
      <c r="D37" s="102"/>
      <c r="E37" s="102"/>
      <c r="F37" s="102"/>
      <c r="G37" s="103"/>
      <c r="H37" s="104">
        <f>STDEV(H22:L33)</f>
        <v>0</v>
      </c>
      <c r="I37" s="104"/>
      <c r="J37" s="104"/>
      <c r="K37" s="104"/>
      <c r="L37" s="105"/>
      <c r="O37" s="43" t="s">
        <v>14</v>
      </c>
      <c r="P37" s="101"/>
      <c r="Q37" s="102"/>
      <c r="R37" s="102"/>
      <c r="S37" s="102"/>
      <c r="T37" s="103"/>
      <c r="U37" s="104">
        <f>STDEV(U22:Y33)</f>
        <v>1.4397916515940772</v>
      </c>
      <c r="V37" s="104"/>
      <c r="W37" s="104"/>
      <c r="X37" s="104"/>
      <c r="Y37" s="105"/>
    </row>
    <row r="38" spans="2:25" ht="13.9" thickTop="1" x14ac:dyDescent="0.3"/>
    <row r="39" spans="2:25" ht="21.4" x14ac:dyDescent="0.3">
      <c r="B39" s="19" t="s">
        <v>21</v>
      </c>
      <c r="C39" s="18"/>
      <c r="D39" s="18"/>
      <c r="E39" s="18"/>
      <c r="F39" s="18"/>
      <c r="G39" s="18"/>
      <c r="H39" s="18"/>
      <c r="I39" s="18" t="s">
        <v>22</v>
      </c>
      <c r="J39" s="18"/>
      <c r="K39" s="19" t="s">
        <v>23</v>
      </c>
      <c r="L39" s="19" t="s">
        <v>24</v>
      </c>
      <c r="O39" s="19" t="s">
        <v>21</v>
      </c>
      <c r="P39" s="18"/>
      <c r="Q39" s="18"/>
      <c r="R39" s="18"/>
      <c r="S39" s="18"/>
      <c r="T39" s="18"/>
      <c r="U39" s="18"/>
      <c r="V39" s="18" t="s">
        <v>22</v>
      </c>
      <c r="W39" s="18"/>
      <c r="X39" s="19" t="s">
        <v>23</v>
      </c>
      <c r="Y39" s="19" t="s">
        <v>24</v>
      </c>
    </row>
    <row r="40" spans="2:25" ht="21.4" x14ac:dyDescent="0.3">
      <c r="B40" s="18"/>
      <c r="C40" s="18"/>
      <c r="D40" s="18"/>
      <c r="E40" s="18"/>
      <c r="F40" s="18"/>
      <c r="G40" s="18"/>
      <c r="H40" s="18"/>
      <c r="I40" s="18"/>
      <c r="J40" s="18"/>
      <c r="K40" s="19" t="s">
        <v>25</v>
      </c>
      <c r="L40" s="19" t="s">
        <v>26</v>
      </c>
      <c r="O40" s="18"/>
      <c r="P40" s="18"/>
      <c r="Q40" s="18"/>
      <c r="R40" s="18"/>
      <c r="S40" s="18"/>
      <c r="T40" s="18"/>
      <c r="U40" s="18"/>
      <c r="V40" s="18"/>
      <c r="W40" s="18"/>
      <c r="X40" s="19" t="s">
        <v>25</v>
      </c>
      <c r="Y40" s="19" t="s">
        <v>26</v>
      </c>
    </row>
  </sheetData>
  <mergeCells count="80">
    <mergeCell ref="C36:G37"/>
    <mergeCell ref="H36:L36"/>
    <mergeCell ref="P36:T37"/>
    <mergeCell ref="U36:Y36"/>
    <mergeCell ref="H37:L37"/>
    <mergeCell ref="U37:Y37"/>
    <mergeCell ref="C35:G35"/>
    <mergeCell ref="H35:L35"/>
    <mergeCell ref="P35:T35"/>
    <mergeCell ref="U35:Y35"/>
    <mergeCell ref="C34:G34"/>
    <mergeCell ref="H34:L34"/>
    <mergeCell ref="P34:T34"/>
    <mergeCell ref="U34:Y34"/>
    <mergeCell ref="B18:G18"/>
    <mergeCell ref="H18:L18"/>
    <mergeCell ref="O18:T18"/>
    <mergeCell ref="U18:Y18"/>
    <mergeCell ref="B17:G17"/>
    <mergeCell ref="H17:L17"/>
    <mergeCell ref="O17:T17"/>
    <mergeCell ref="U17:Y17"/>
    <mergeCell ref="B16:G16"/>
    <mergeCell ref="H16:L16"/>
    <mergeCell ref="O16:T16"/>
    <mergeCell ref="U16:Y16"/>
    <mergeCell ref="B15:G15"/>
    <mergeCell ref="H15:L15"/>
    <mergeCell ref="O15:T15"/>
    <mergeCell ref="U15:Y15"/>
    <mergeCell ref="X12:Y12"/>
    <mergeCell ref="B12:D12"/>
    <mergeCell ref="E12:G12"/>
    <mergeCell ref="B14:G14"/>
    <mergeCell ref="H14:L14"/>
    <mergeCell ref="O14:T14"/>
    <mergeCell ref="U14:Y14"/>
    <mergeCell ref="B13:G13"/>
    <mergeCell ref="H13:L13"/>
    <mergeCell ref="O13:T13"/>
    <mergeCell ref="U13:Y13"/>
    <mergeCell ref="H12:J12"/>
    <mergeCell ref="K12:L12"/>
    <mergeCell ref="O12:Q12"/>
    <mergeCell ref="R12:T12"/>
    <mergeCell ref="U12:W12"/>
    <mergeCell ref="B11:H11"/>
    <mergeCell ref="I11:L11"/>
    <mergeCell ref="O11:U11"/>
    <mergeCell ref="V11:Y11"/>
    <mergeCell ref="B10:H10"/>
    <mergeCell ref="I10:L10"/>
    <mergeCell ref="O10:U10"/>
    <mergeCell ref="V10:Y10"/>
    <mergeCell ref="B9:D9"/>
    <mergeCell ref="K9:L9"/>
    <mergeCell ref="O9:Q9"/>
    <mergeCell ref="X9:Y9"/>
    <mergeCell ref="B8:D8"/>
    <mergeCell ref="K8:L8"/>
    <mergeCell ref="O8:Q8"/>
    <mergeCell ref="X8:Y8"/>
    <mergeCell ref="B6:D6"/>
    <mergeCell ref="O6:Q6"/>
    <mergeCell ref="B7:D7"/>
    <mergeCell ref="O7:Q7"/>
    <mergeCell ref="B4:D4"/>
    <mergeCell ref="O4:Q4"/>
    <mergeCell ref="B5:D5"/>
    <mergeCell ref="O5:Q5"/>
    <mergeCell ref="B3:D3"/>
    <mergeCell ref="E3:G3"/>
    <mergeCell ref="O3:Q3"/>
    <mergeCell ref="R3:T3"/>
    <mergeCell ref="B1:D2"/>
    <mergeCell ref="E1:J1"/>
    <mergeCell ref="O1:Q2"/>
    <mergeCell ref="R1:W1"/>
    <mergeCell ref="E2:G2"/>
    <mergeCell ref="R2:T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40"/>
  <sheetViews>
    <sheetView tabSelected="1" zoomScale="55" zoomScaleNormal="55" workbookViewId="0">
      <selection activeCell="B45" sqref="B45"/>
    </sheetView>
  </sheetViews>
  <sheetFormatPr defaultColWidth="9" defaultRowHeight="13.5" x14ac:dyDescent="0.3"/>
  <cols>
    <col min="1" max="1" width="14.46484375" style="31" customWidth="1"/>
    <col min="2" max="10" width="16.46484375" style="31" customWidth="1"/>
    <col min="11" max="11" width="17.86328125" style="31" customWidth="1"/>
    <col min="12" max="12" width="9" style="31"/>
    <col min="13" max="13" width="14.46484375" style="31" customWidth="1"/>
    <col min="14" max="22" width="16.46484375" style="31" customWidth="1"/>
    <col min="23" max="23" width="17.86328125" style="31" customWidth="1"/>
    <col min="24" max="25" width="12" style="31" customWidth="1"/>
    <col min="26" max="26" width="14.46484375" style="31" customWidth="1"/>
    <col min="27" max="35" width="16.46484375" style="31" customWidth="1"/>
    <col min="36" max="36" width="17.86328125" style="31" customWidth="1"/>
    <col min="37" max="16384" width="9" style="31"/>
  </cols>
  <sheetData>
    <row r="1" spans="2:25" ht="23.25" customHeight="1" thickTop="1" thickBot="1" x14ac:dyDescent="0.35">
      <c r="B1" s="44" t="s">
        <v>0</v>
      </c>
      <c r="C1" s="45"/>
      <c r="D1" s="46"/>
      <c r="E1" s="50" t="s">
        <v>1</v>
      </c>
      <c r="F1" s="51"/>
      <c r="G1" s="51"/>
      <c r="H1" s="51"/>
      <c r="I1" s="51"/>
      <c r="J1" s="52"/>
      <c r="K1" s="33"/>
      <c r="L1" s="34"/>
      <c r="O1" s="44" t="s">
        <v>0</v>
      </c>
      <c r="P1" s="45"/>
      <c r="Q1" s="46"/>
      <c r="R1" s="50" t="s">
        <v>1</v>
      </c>
      <c r="S1" s="51"/>
      <c r="T1" s="51"/>
      <c r="U1" s="51"/>
      <c r="V1" s="51"/>
      <c r="W1" s="52"/>
      <c r="X1" s="33"/>
      <c r="Y1" s="34"/>
    </row>
    <row r="2" spans="2:25" ht="23.25" customHeight="1" thickTop="1" thickBot="1" x14ac:dyDescent="0.35">
      <c r="B2" s="47"/>
      <c r="C2" s="48"/>
      <c r="D2" s="49"/>
      <c r="E2" s="53" t="s">
        <v>2</v>
      </c>
      <c r="F2" s="54"/>
      <c r="G2" s="55"/>
      <c r="H2" s="1" t="s">
        <v>3</v>
      </c>
      <c r="I2" s="2" t="s">
        <v>4</v>
      </c>
      <c r="J2" s="3" t="s">
        <v>5</v>
      </c>
      <c r="K2" s="18"/>
      <c r="L2" s="30"/>
      <c r="O2" s="47"/>
      <c r="P2" s="48"/>
      <c r="Q2" s="49"/>
      <c r="R2" s="53" t="s">
        <v>2</v>
      </c>
      <c r="S2" s="54"/>
      <c r="T2" s="55"/>
      <c r="U2" s="1" t="s">
        <v>3</v>
      </c>
      <c r="V2" s="2" t="s">
        <v>4</v>
      </c>
      <c r="W2" s="3" t="s">
        <v>5</v>
      </c>
      <c r="X2" s="18"/>
      <c r="Y2" s="30"/>
    </row>
    <row r="3" spans="2:25" ht="24" customHeight="1" thickTop="1" x14ac:dyDescent="0.35">
      <c r="B3" s="56" t="s">
        <v>16</v>
      </c>
      <c r="C3" s="57"/>
      <c r="D3" s="58"/>
      <c r="E3" s="59" t="s">
        <v>6</v>
      </c>
      <c r="F3" s="60"/>
      <c r="G3" s="61"/>
      <c r="H3" s="29" t="s">
        <v>7</v>
      </c>
      <c r="I3" s="4">
        <v>45656</v>
      </c>
      <c r="J3" s="5">
        <v>46020</v>
      </c>
      <c r="K3" s="35"/>
      <c r="L3" s="30"/>
      <c r="O3" s="56" t="s">
        <v>16</v>
      </c>
      <c r="P3" s="57"/>
      <c r="Q3" s="58"/>
      <c r="R3" s="59" t="s">
        <v>6</v>
      </c>
      <c r="S3" s="60"/>
      <c r="T3" s="61"/>
      <c r="U3" s="29" t="s">
        <v>7</v>
      </c>
      <c r="V3" s="4">
        <v>45656</v>
      </c>
      <c r="W3" s="5">
        <v>46020</v>
      </c>
      <c r="X3" s="35"/>
      <c r="Y3" s="30"/>
    </row>
    <row r="4" spans="2:25" ht="21.75" customHeight="1" x14ac:dyDescent="0.3">
      <c r="B4" s="62" t="s">
        <v>17</v>
      </c>
      <c r="C4" s="63"/>
      <c r="D4" s="64"/>
      <c r="E4" s="23"/>
      <c r="F4" s="24"/>
      <c r="G4" s="25"/>
      <c r="H4" s="22"/>
      <c r="I4" s="6"/>
      <c r="J4" s="7"/>
      <c r="K4" s="18"/>
      <c r="L4" s="30"/>
      <c r="O4" s="62" t="s">
        <v>17</v>
      </c>
      <c r="P4" s="63"/>
      <c r="Q4" s="64"/>
      <c r="R4" s="23"/>
      <c r="S4" s="24"/>
      <c r="T4" s="25"/>
      <c r="U4" s="22"/>
      <c r="V4" s="6"/>
      <c r="W4" s="7"/>
      <c r="X4" s="18"/>
      <c r="Y4" s="30"/>
    </row>
    <row r="5" spans="2:25" ht="24.4" x14ac:dyDescent="0.3">
      <c r="B5" s="65" t="s">
        <v>18</v>
      </c>
      <c r="C5" s="63"/>
      <c r="D5" s="64"/>
      <c r="E5" s="23"/>
      <c r="F5" s="24"/>
      <c r="G5" s="25"/>
      <c r="H5" s="22"/>
      <c r="I5" s="6"/>
      <c r="J5" s="7"/>
      <c r="K5" s="8"/>
      <c r="L5" s="36"/>
      <c r="O5" s="65" t="s">
        <v>18</v>
      </c>
      <c r="P5" s="63"/>
      <c r="Q5" s="64"/>
      <c r="R5" s="23"/>
      <c r="S5" s="24"/>
      <c r="T5" s="25"/>
      <c r="U5" s="22"/>
      <c r="V5" s="6"/>
      <c r="W5" s="7"/>
      <c r="X5" s="8"/>
      <c r="Y5" s="36"/>
    </row>
    <row r="6" spans="2:25" ht="24.4" x14ac:dyDescent="0.3">
      <c r="B6" s="65" t="s">
        <v>19</v>
      </c>
      <c r="C6" s="63"/>
      <c r="D6" s="64"/>
      <c r="E6" s="23"/>
      <c r="F6" s="24"/>
      <c r="G6" s="25"/>
      <c r="H6" s="22"/>
      <c r="I6" s="6"/>
      <c r="J6" s="7"/>
      <c r="K6" s="8"/>
      <c r="L6" s="36"/>
      <c r="O6" s="65" t="s">
        <v>19</v>
      </c>
      <c r="P6" s="63"/>
      <c r="Q6" s="64"/>
      <c r="R6" s="23"/>
      <c r="S6" s="24"/>
      <c r="T6" s="25"/>
      <c r="U6" s="22"/>
      <c r="V6" s="6"/>
      <c r="W6" s="7"/>
      <c r="X6" s="8"/>
      <c r="Y6" s="36"/>
    </row>
    <row r="7" spans="2:25" ht="24.75" thickBot="1" x14ac:dyDescent="0.35">
      <c r="B7" s="66" t="s">
        <v>20</v>
      </c>
      <c r="C7" s="67"/>
      <c r="D7" s="68"/>
      <c r="E7" s="23"/>
      <c r="F7" s="24"/>
      <c r="G7" s="25"/>
      <c r="H7" s="22"/>
      <c r="I7" s="6"/>
      <c r="J7" s="7"/>
      <c r="K7" s="8"/>
      <c r="L7" s="36"/>
      <c r="O7" s="66" t="s">
        <v>20</v>
      </c>
      <c r="P7" s="67"/>
      <c r="Q7" s="68"/>
      <c r="R7" s="23"/>
      <c r="S7" s="24"/>
      <c r="T7" s="25"/>
      <c r="U7" s="22"/>
      <c r="V7" s="6"/>
      <c r="W7" s="7"/>
      <c r="X7" s="8"/>
      <c r="Y7" s="36"/>
    </row>
    <row r="8" spans="2:25" ht="21.75" thickTop="1" x14ac:dyDescent="0.3">
      <c r="B8" s="69" t="s">
        <v>49</v>
      </c>
      <c r="C8" s="70"/>
      <c r="D8" s="70"/>
      <c r="E8" s="23"/>
      <c r="F8" s="24"/>
      <c r="G8" s="25"/>
      <c r="H8" s="22"/>
      <c r="I8" s="6"/>
      <c r="J8" s="7"/>
      <c r="K8" s="71" t="s">
        <v>38</v>
      </c>
      <c r="L8" s="72"/>
      <c r="O8" s="69" t="s">
        <v>74</v>
      </c>
      <c r="P8" s="70"/>
      <c r="Q8" s="70"/>
      <c r="R8" s="23"/>
      <c r="S8" s="24"/>
      <c r="T8" s="25"/>
      <c r="U8" s="22"/>
      <c r="V8" s="6"/>
      <c r="W8" s="7"/>
      <c r="X8" s="71" t="s">
        <v>76</v>
      </c>
      <c r="Y8" s="72"/>
    </row>
    <row r="9" spans="2:25" ht="21.75" thickBot="1" x14ac:dyDescent="0.35">
      <c r="B9" s="69" t="s">
        <v>50</v>
      </c>
      <c r="C9" s="70"/>
      <c r="D9" s="70"/>
      <c r="E9" s="26"/>
      <c r="F9" s="27"/>
      <c r="G9" s="28"/>
      <c r="H9" s="21"/>
      <c r="I9" s="9"/>
      <c r="J9" s="10"/>
      <c r="K9" s="73" t="s">
        <v>52</v>
      </c>
      <c r="L9" s="74"/>
      <c r="O9" s="69" t="s">
        <v>75</v>
      </c>
      <c r="P9" s="70"/>
      <c r="Q9" s="70"/>
      <c r="R9" s="26"/>
      <c r="S9" s="27"/>
      <c r="T9" s="28"/>
      <c r="U9" s="21"/>
      <c r="V9" s="9"/>
      <c r="W9" s="10"/>
      <c r="X9" s="73" t="s">
        <v>77</v>
      </c>
      <c r="Y9" s="74"/>
    </row>
    <row r="10" spans="2:25" ht="21.75" thickTop="1" x14ac:dyDescent="0.3">
      <c r="B10" s="75" t="s">
        <v>51</v>
      </c>
      <c r="C10" s="76"/>
      <c r="D10" s="76"/>
      <c r="E10" s="76"/>
      <c r="F10" s="76"/>
      <c r="G10" s="76"/>
      <c r="H10" s="77"/>
      <c r="I10" s="78" t="s">
        <v>59</v>
      </c>
      <c r="J10" s="79"/>
      <c r="K10" s="79"/>
      <c r="L10" s="72"/>
      <c r="O10" s="75" t="s">
        <v>73</v>
      </c>
      <c r="P10" s="76"/>
      <c r="Q10" s="76"/>
      <c r="R10" s="76"/>
      <c r="S10" s="76"/>
      <c r="T10" s="76"/>
      <c r="U10" s="77"/>
      <c r="V10" s="78" t="s">
        <v>59</v>
      </c>
      <c r="W10" s="79"/>
      <c r="X10" s="79"/>
      <c r="Y10" s="72"/>
    </row>
    <row r="11" spans="2:25" ht="21.4" x14ac:dyDescent="0.3">
      <c r="B11" s="80" t="s">
        <v>62</v>
      </c>
      <c r="C11" s="81"/>
      <c r="D11" s="81"/>
      <c r="E11" s="81"/>
      <c r="F11" s="81"/>
      <c r="G11" s="81"/>
      <c r="H11" s="82"/>
      <c r="I11" s="83" t="s">
        <v>63</v>
      </c>
      <c r="J11" s="84"/>
      <c r="K11" s="84"/>
      <c r="L11" s="85"/>
      <c r="O11" s="80" t="s">
        <v>62</v>
      </c>
      <c r="P11" s="81"/>
      <c r="Q11" s="81"/>
      <c r="R11" s="81"/>
      <c r="S11" s="81"/>
      <c r="T11" s="81"/>
      <c r="U11" s="82"/>
      <c r="V11" s="83" t="s">
        <v>63</v>
      </c>
      <c r="W11" s="84"/>
      <c r="X11" s="84"/>
      <c r="Y11" s="85"/>
    </row>
    <row r="12" spans="2:25" ht="21.4" x14ac:dyDescent="0.3">
      <c r="B12" s="69" t="s">
        <v>31</v>
      </c>
      <c r="C12" s="70"/>
      <c r="D12" s="70"/>
      <c r="E12" s="70" t="s">
        <v>39</v>
      </c>
      <c r="F12" s="70"/>
      <c r="G12" s="70"/>
      <c r="H12" s="83" t="s">
        <v>15</v>
      </c>
      <c r="I12" s="84"/>
      <c r="J12" s="86"/>
      <c r="K12" s="87" t="s">
        <v>64</v>
      </c>
      <c r="L12" s="74"/>
      <c r="O12" s="69" t="s">
        <v>31</v>
      </c>
      <c r="P12" s="70"/>
      <c r="Q12" s="70"/>
      <c r="R12" s="70" t="s">
        <v>39</v>
      </c>
      <c r="S12" s="70"/>
      <c r="T12" s="70"/>
      <c r="U12" s="83" t="s">
        <v>15</v>
      </c>
      <c r="V12" s="84"/>
      <c r="W12" s="86"/>
      <c r="X12" s="87" t="s">
        <v>64</v>
      </c>
      <c r="Y12" s="74"/>
    </row>
    <row r="13" spans="2:25" ht="21.4" x14ac:dyDescent="0.3">
      <c r="B13" s="88" t="s">
        <v>8</v>
      </c>
      <c r="C13" s="89"/>
      <c r="D13" s="89"/>
      <c r="E13" s="89"/>
      <c r="F13" s="89"/>
      <c r="G13" s="90"/>
      <c r="H13" s="91" t="s">
        <v>8</v>
      </c>
      <c r="I13" s="92"/>
      <c r="J13" s="92"/>
      <c r="K13" s="92"/>
      <c r="L13" s="93"/>
      <c r="O13" s="88" t="s">
        <v>8</v>
      </c>
      <c r="P13" s="89"/>
      <c r="Q13" s="89"/>
      <c r="R13" s="89"/>
      <c r="S13" s="89"/>
      <c r="T13" s="90"/>
      <c r="U13" s="91" t="s">
        <v>8</v>
      </c>
      <c r="V13" s="92"/>
      <c r="W13" s="92"/>
      <c r="X13" s="92"/>
      <c r="Y13" s="93"/>
    </row>
    <row r="14" spans="2:25" ht="21.4" x14ac:dyDescent="0.3">
      <c r="B14" s="94" t="s">
        <v>48</v>
      </c>
      <c r="C14" s="84"/>
      <c r="D14" s="84"/>
      <c r="E14" s="84"/>
      <c r="F14" s="84"/>
      <c r="G14" s="84"/>
      <c r="H14" s="70" t="s">
        <v>78</v>
      </c>
      <c r="I14" s="70"/>
      <c r="J14" s="70"/>
      <c r="K14" s="70"/>
      <c r="L14" s="95"/>
      <c r="O14" s="94" t="s">
        <v>32</v>
      </c>
      <c r="P14" s="84"/>
      <c r="Q14" s="84"/>
      <c r="R14" s="84"/>
      <c r="S14" s="84"/>
      <c r="T14" s="84"/>
      <c r="U14" s="70" t="s">
        <v>78</v>
      </c>
      <c r="V14" s="70"/>
      <c r="W14" s="70"/>
      <c r="X14" s="70"/>
      <c r="Y14" s="95"/>
    </row>
    <row r="15" spans="2:25" ht="21.4" x14ac:dyDescent="0.3">
      <c r="B15" s="94" t="s">
        <v>33</v>
      </c>
      <c r="C15" s="84"/>
      <c r="D15" s="84"/>
      <c r="E15" s="84"/>
      <c r="F15" s="84"/>
      <c r="G15" s="84"/>
      <c r="H15" s="70" t="s">
        <v>79</v>
      </c>
      <c r="I15" s="70"/>
      <c r="J15" s="70"/>
      <c r="K15" s="70"/>
      <c r="L15" s="95"/>
      <c r="O15" s="94" t="s">
        <v>33</v>
      </c>
      <c r="P15" s="84"/>
      <c r="Q15" s="84"/>
      <c r="R15" s="84"/>
      <c r="S15" s="84"/>
      <c r="T15" s="84"/>
      <c r="U15" s="70" t="s">
        <v>79</v>
      </c>
      <c r="V15" s="70"/>
      <c r="W15" s="70"/>
      <c r="X15" s="70"/>
      <c r="Y15" s="95"/>
    </row>
    <row r="16" spans="2:25" ht="21.4" x14ac:dyDescent="0.3">
      <c r="B16" s="94" t="s">
        <v>34</v>
      </c>
      <c r="C16" s="84"/>
      <c r="D16" s="84"/>
      <c r="E16" s="84"/>
      <c r="F16" s="84"/>
      <c r="G16" s="84"/>
      <c r="H16" s="70" t="s">
        <v>80</v>
      </c>
      <c r="I16" s="70"/>
      <c r="J16" s="70"/>
      <c r="K16" s="70"/>
      <c r="L16" s="95"/>
      <c r="O16" s="94" t="s">
        <v>34</v>
      </c>
      <c r="P16" s="84"/>
      <c r="Q16" s="84"/>
      <c r="R16" s="84"/>
      <c r="S16" s="84"/>
      <c r="T16" s="84"/>
      <c r="U16" s="70" t="s">
        <v>80</v>
      </c>
      <c r="V16" s="70"/>
      <c r="W16" s="70"/>
      <c r="X16" s="70"/>
      <c r="Y16" s="95"/>
    </row>
    <row r="17" spans="2:25" ht="21.4" x14ac:dyDescent="0.3">
      <c r="B17" s="94" t="s">
        <v>35</v>
      </c>
      <c r="C17" s="84"/>
      <c r="D17" s="84"/>
      <c r="E17" s="84"/>
      <c r="F17" s="84"/>
      <c r="G17" s="84"/>
      <c r="H17" s="70" t="s">
        <v>81</v>
      </c>
      <c r="I17" s="70"/>
      <c r="J17" s="70"/>
      <c r="K17" s="70"/>
      <c r="L17" s="95"/>
      <c r="O17" s="94" t="s">
        <v>35</v>
      </c>
      <c r="P17" s="84"/>
      <c r="Q17" s="84"/>
      <c r="R17" s="84"/>
      <c r="S17" s="84"/>
      <c r="T17" s="84"/>
      <c r="U17" s="70" t="s">
        <v>81</v>
      </c>
      <c r="V17" s="70"/>
      <c r="W17" s="70"/>
      <c r="X17" s="70"/>
      <c r="Y17" s="95"/>
    </row>
    <row r="18" spans="2:25" ht="21.4" x14ac:dyDescent="0.3">
      <c r="B18" s="94" t="s">
        <v>36</v>
      </c>
      <c r="C18" s="84"/>
      <c r="D18" s="84"/>
      <c r="E18" s="84"/>
      <c r="F18" s="84"/>
      <c r="G18" s="84"/>
      <c r="H18" s="70" t="s">
        <v>82</v>
      </c>
      <c r="I18" s="70"/>
      <c r="J18" s="70"/>
      <c r="K18" s="70"/>
      <c r="L18" s="95"/>
      <c r="O18" s="94" t="s">
        <v>36</v>
      </c>
      <c r="P18" s="84"/>
      <c r="Q18" s="84"/>
      <c r="R18" s="84"/>
      <c r="S18" s="84"/>
      <c r="T18" s="84"/>
      <c r="U18" s="70" t="s">
        <v>82</v>
      </c>
      <c r="V18" s="70"/>
      <c r="W18" s="70"/>
      <c r="X18" s="70"/>
      <c r="Y18" s="95"/>
    </row>
    <row r="19" spans="2:25" ht="21.4" x14ac:dyDescent="0.3">
      <c r="B19" s="11"/>
      <c r="C19" s="12">
        <v>1</v>
      </c>
      <c r="D19" s="12">
        <v>2</v>
      </c>
      <c r="E19" s="13">
        <v>3</v>
      </c>
      <c r="F19" s="13">
        <v>4</v>
      </c>
      <c r="G19" s="12">
        <v>5</v>
      </c>
      <c r="H19" s="13">
        <v>6</v>
      </c>
      <c r="I19" s="13">
        <v>7</v>
      </c>
      <c r="J19" s="13">
        <v>8</v>
      </c>
      <c r="K19" s="13">
        <v>9</v>
      </c>
      <c r="L19" s="14">
        <v>10</v>
      </c>
      <c r="O19" s="11"/>
      <c r="P19" s="12">
        <v>1</v>
      </c>
      <c r="Q19" s="12">
        <v>2</v>
      </c>
      <c r="R19" s="13">
        <v>3</v>
      </c>
      <c r="S19" s="13">
        <v>4</v>
      </c>
      <c r="T19" s="12">
        <v>5</v>
      </c>
      <c r="U19" s="13">
        <v>6</v>
      </c>
      <c r="V19" s="13">
        <v>7</v>
      </c>
      <c r="W19" s="13">
        <v>8</v>
      </c>
      <c r="X19" s="13">
        <v>9</v>
      </c>
      <c r="Y19" s="14">
        <v>10</v>
      </c>
    </row>
    <row r="20" spans="2:25" ht="21.4" x14ac:dyDescent="0.3">
      <c r="B20" s="15" t="s">
        <v>9</v>
      </c>
      <c r="C20" s="16" t="s">
        <v>37</v>
      </c>
      <c r="D20" s="16" t="s">
        <v>37</v>
      </c>
      <c r="E20" s="16" t="s">
        <v>37</v>
      </c>
      <c r="F20" s="16" t="s">
        <v>37</v>
      </c>
      <c r="G20" s="16" t="s">
        <v>37</v>
      </c>
      <c r="H20" s="16" t="s">
        <v>28</v>
      </c>
      <c r="I20" s="16" t="s">
        <v>28</v>
      </c>
      <c r="J20" s="16" t="s">
        <v>28</v>
      </c>
      <c r="K20" s="16" t="s">
        <v>28</v>
      </c>
      <c r="L20" s="37" t="s">
        <v>28</v>
      </c>
      <c r="O20" s="15" t="s">
        <v>9</v>
      </c>
      <c r="P20" s="16" t="s">
        <v>37</v>
      </c>
      <c r="Q20" s="16" t="s">
        <v>37</v>
      </c>
      <c r="R20" s="16" t="s">
        <v>37</v>
      </c>
      <c r="S20" s="16" t="s">
        <v>37</v>
      </c>
      <c r="T20" s="16" t="s">
        <v>37</v>
      </c>
      <c r="U20" s="16" t="s">
        <v>28</v>
      </c>
      <c r="V20" s="16" t="s">
        <v>28</v>
      </c>
      <c r="W20" s="16" t="s">
        <v>28</v>
      </c>
      <c r="X20" s="16" t="s">
        <v>28</v>
      </c>
      <c r="Y20" s="37" t="s">
        <v>28</v>
      </c>
    </row>
    <row r="21" spans="2:25" ht="64.150000000000006" x14ac:dyDescent="0.3">
      <c r="B21" s="38" t="s">
        <v>10</v>
      </c>
      <c r="C21" s="17" t="s">
        <v>40</v>
      </c>
      <c r="D21" s="17" t="s">
        <v>41</v>
      </c>
      <c r="E21" s="17" t="s">
        <v>42</v>
      </c>
      <c r="F21" s="17" t="s">
        <v>43</v>
      </c>
      <c r="G21" s="17" t="s">
        <v>44</v>
      </c>
      <c r="H21" s="17" t="s">
        <v>40</v>
      </c>
      <c r="I21" s="17" t="s">
        <v>41</v>
      </c>
      <c r="J21" s="17" t="s">
        <v>42</v>
      </c>
      <c r="K21" s="17" t="s">
        <v>43</v>
      </c>
      <c r="L21" s="17" t="s">
        <v>44</v>
      </c>
      <c r="O21" s="38" t="s">
        <v>10</v>
      </c>
      <c r="P21" s="17" t="s">
        <v>40</v>
      </c>
      <c r="Q21" s="17" t="s">
        <v>41</v>
      </c>
      <c r="R21" s="17" t="s">
        <v>42</v>
      </c>
      <c r="S21" s="17" t="s">
        <v>43</v>
      </c>
      <c r="T21" s="17" t="s">
        <v>44</v>
      </c>
      <c r="U21" s="17" t="s">
        <v>40</v>
      </c>
      <c r="V21" s="17" t="s">
        <v>41</v>
      </c>
      <c r="W21" s="17" t="s">
        <v>42</v>
      </c>
      <c r="X21" s="17" t="s">
        <v>43</v>
      </c>
      <c r="Y21" s="17" t="s">
        <v>44</v>
      </c>
    </row>
    <row r="22" spans="2:25" ht="21.4" x14ac:dyDescent="0.3">
      <c r="B22" s="39" t="s">
        <v>65</v>
      </c>
      <c r="C22" s="32" t="s">
        <v>29</v>
      </c>
      <c r="D22" s="32" t="s">
        <v>29</v>
      </c>
      <c r="E22" s="32" t="s">
        <v>29</v>
      </c>
      <c r="F22" s="32" t="s">
        <v>29</v>
      </c>
      <c r="G22" s="32" t="s">
        <v>29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O22" s="39" t="s">
        <v>65</v>
      </c>
      <c r="P22" s="32" t="s">
        <v>29</v>
      </c>
      <c r="Q22" s="32" t="s">
        <v>29</v>
      </c>
      <c r="R22" s="32" t="s">
        <v>29</v>
      </c>
      <c r="S22" s="32" t="s">
        <v>29</v>
      </c>
      <c r="T22" s="32" t="s">
        <v>29</v>
      </c>
      <c r="U22" s="32">
        <v>0.4</v>
      </c>
      <c r="V22" s="32">
        <v>0.8</v>
      </c>
      <c r="W22" s="32">
        <v>0.7</v>
      </c>
      <c r="X22" s="32">
        <v>1.4</v>
      </c>
      <c r="Y22" s="32">
        <v>0.8</v>
      </c>
    </row>
    <row r="23" spans="2:25" ht="21.4" x14ac:dyDescent="0.3">
      <c r="B23" s="39"/>
      <c r="C23" s="32"/>
      <c r="D23" s="32"/>
      <c r="E23" s="32"/>
      <c r="F23" s="32"/>
      <c r="G23" s="32"/>
      <c r="H23" s="32"/>
      <c r="I23" s="32"/>
      <c r="J23" s="32"/>
      <c r="K23" s="32"/>
      <c r="L23" s="32"/>
      <c r="O23" s="39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2:25" ht="21.4" x14ac:dyDescent="0.3">
      <c r="B24" s="39"/>
      <c r="C24" s="32"/>
      <c r="D24" s="32"/>
      <c r="E24" s="32"/>
      <c r="F24" s="32"/>
      <c r="G24" s="32"/>
      <c r="H24" s="32"/>
      <c r="I24" s="32"/>
      <c r="J24" s="32"/>
      <c r="K24" s="32"/>
      <c r="L24" s="32"/>
      <c r="O24" s="39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2:25" ht="21.4" x14ac:dyDescent="0.3">
      <c r="B25" s="40"/>
      <c r="C25" s="20"/>
      <c r="D25" s="20"/>
      <c r="E25" s="20"/>
      <c r="F25" s="20"/>
      <c r="G25" s="20"/>
      <c r="H25" s="20"/>
      <c r="I25" s="20"/>
      <c r="J25" s="20"/>
      <c r="K25" s="20"/>
      <c r="L25" s="41"/>
      <c r="O25" s="40"/>
      <c r="P25" s="20"/>
      <c r="Q25" s="20"/>
      <c r="R25" s="20"/>
      <c r="S25" s="20"/>
      <c r="T25" s="20"/>
      <c r="U25" s="20"/>
      <c r="V25" s="20"/>
      <c r="W25" s="20"/>
      <c r="X25" s="20"/>
      <c r="Y25" s="41"/>
    </row>
    <row r="26" spans="2:25" ht="21.4" x14ac:dyDescent="0.3">
      <c r="B26" s="40"/>
      <c r="C26" s="20"/>
      <c r="D26" s="20"/>
      <c r="E26" s="20"/>
      <c r="F26" s="20"/>
      <c r="G26" s="20"/>
      <c r="H26" s="20"/>
      <c r="I26" s="20"/>
      <c r="J26" s="20"/>
      <c r="K26" s="20"/>
      <c r="L26" s="41"/>
      <c r="O26" s="40"/>
      <c r="P26" s="20"/>
      <c r="Q26" s="20"/>
      <c r="R26" s="20"/>
      <c r="S26" s="20"/>
      <c r="T26" s="20"/>
      <c r="U26" s="20"/>
      <c r="V26" s="20"/>
      <c r="W26" s="20"/>
      <c r="X26" s="20"/>
      <c r="Y26" s="41"/>
    </row>
    <row r="27" spans="2:25" ht="21.4" x14ac:dyDescent="0.3">
      <c r="B27" s="40"/>
      <c r="C27" s="20"/>
      <c r="D27" s="20"/>
      <c r="E27" s="20"/>
      <c r="F27" s="20"/>
      <c r="G27" s="20"/>
      <c r="H27" s="20"/>
      <c r="I27" s="20"/>
      <c r="J27" s="20"/>
      <c r="K27" s="20"/>
      <c r="L27" s="41"/>
      <c r="O27" s="40"/>
      <c r="P27" s="20"/>
      <c r="Q27" s="20"/>
      <c r="R27" s="20"/>
      <c r="S27" s="20"/>
      <c r="T27" s="20"/>
      <c r="U27" s="20"/>
      <c r="V27" s="20"/>
      <c r="W27" s="20"/>
      <c r="X27" s="20"/>
      <c r="Y27" s="41"/>
    </row>
    <row r="28" spans="2:25" ht="21.4" x14ac:dyDescent="0.3">
      <c r="B28" s="40"/>
      <c r="C28" s="20"/>
      <c r="D28" s="20"/>
      <c r="E28" s="20"/>
      <c r="F28" s="20"/>
      <c r="G28" s="20"/>
      <c r="H28" s="20"/>
      <c r="I28" s="20"/>
      <c r="J28" s="20"/>
      <c r="K28" s="20"/>
      <c r="L28" s="41"/>
      <c r="O28" s="40"/>
      <c r="P28" s="20"/>
      <c r="Q28" s="20"/>
      <c r="R28" s="20"/>
      <c r="S28" s="20"/>
      <c r="T28" s="20"/>
      <c r="U28" s="20"/>
      <c r="V28" s="20"/>
      <c r="W28" s="20"/>
      <c r="X28" s="20"/>
      <c r="Y28" s="41"/>
    </row>
    <row r="29" spans="2:25" ht="21.4" x14ac:dyDescent="0.3">
      <c r="B29" s="40"/>
      <c r="C29" s="20"/>
      <c r="D29" s="20"/>
      <c r="E29" s="20"/>
      <c r="F29" s="20"/>
      <c r="G29" s="20"/>
      <c r="H29" s="20"/>
      <c r="I29" s="20"/>
      <c r="J29" s="20"/>
      <c r="K29" s="20"/>
      <c r="L29" s="41"/>
      <c r="O29" s="40"/>
      <c r="P29" s="20"/>
      <c r="Q29" s="20"/>
      <c r="R29" s="20"/>
      <c r="S29" s="20"/>
      <c r="T29" s="20"/>
      <c r="U29" s="20"/>
      <c r="V29" s="20"/>
      <c r="W29" s="20"/>
      <c r="X29" s="20"/>
      <c r="Y29" s="41"/>
    </row>
    <row r="30" spans="2:25" ht="21.4" x14ac:dyDescent="0.3">
      <c r="B30" s="40"/>
      <c r="C30" s="20"/>
      <c r="D30" s="20"/>
      <c r="E30" s="20"/>
      <c r="F30" s="20"/>
      <c r="G30" s="20"/>
      <c r="H30" s="20"/>
      <c r="I30" s="20"/>
      <c r="J30" s="20"/>
      <c r="K30" s="20"/>
      <c r="L30" s="41"/>
      <c r="O30" s="40"/>
      <c r="P30" s="20"/>
      <c r="Q30" s="20"/>
      <c r="R30" s="20"/>
      <c r="S30" s="20"/>
      <c r="T30" s="20"/>
      <c r="U30" s="20"/>
      <c r="V30" s="20"/>
      <c r="W30" s="20"/>
      <c r="X30" s="20"/>
      <c r="Y30" s="41"/>
    </row>
    <row r="31" spans="2:25" ht="21.4" x14ac:dyDescent="0.3">
      <c r="B31" s="40"/>
      <c r="C31" s="20"/>
      <c r="D31" s="20"/>
      <c r="E31" s="20"/>
      <c r="F31" s="20"/>
      <c r="G31" s="20"/>
      <c r="H31" s="20"/>
      <c r="I31" s="20"/>
      <c r="J31" s="20"/>
      <c r="K31" s="20"/>
      <c r="L31" s="41"/>
      <c r="O31" s="40"/>
      <c r="P31" s="20"/>
      <c r="Q31" s="20"/>
      <c r="R31" s="20"/>
      <c r="S31" s="20"/>
      <c r="T31" s="20"/>
      <c r="U31" s="20"/>
      <c r="V31" s="20"/>
      <c r="W31" s="20"/>
      <c r="X31" s="20"/>
      <c r="Y31" s="41"/>
    </row>
    <row r="32" spans="2:25" ht="21.4" x14ac:dyDescent="0.3">
      <c r="B32" s="40"/>
      <c r="C32" s="20"/>
      <c r="D32" s="20"/>
      <c r="E32" s="20"/>
      <c r="F32" s="20"/>
      <c r="G32" s="20"/>
      <c r="H32" s="20"/>
      <c r="I32" s="20"/>
      <c r="J32" s="20"/>
      <c r="K32" s="20"/>
      <c r="L32" s="41"/>
      <c r="O32" s="40"/>
      <c r="P32" s="20"/>
      <c r="Q32" s="20"/>
      <c r="R32" s="20"/>
      <c r="S32" s="20"/>
      <c r="T32" s="20"/>
      <c r="U32" s="20"/>
      <c r="V32" s="20"/>
      <c r="W32" s="20"/>
      <c r="X32" s="20"/>
      <c r="Y32" s="41"/>
    </row>
    <row r="33" spans="2:25" ht="21.4" x14ac:dyDescent="0.3">
      <c r="B33" s="40"/>
      <c r="C33" s="20"/>
      <c r="D33" s="20"/>
      <c r="E33" s="20"/>
      <c r="F33" s="20"/>
      <c r="G33" s="20"/>
      <c r="H33" s="20"/>
      <c r="I33" s="20"/>
      <c r="J33" s="20"/>
      <c r="K33" s="20"/>
      <c r="L33" s="41"/>
      <c r="O33" s="40"/>
      <c r="P33" s="20"/>
      <c r="Q33" s="20"/>
      <c r="R33" s="20"/>
      <c r="S33" s="20"/>
      <c r="T33" s="20"/>
      <c r="U33" s="20"/>
      <c r="V33" s="20"/>
      <c r="W33" s="20"/>
      <c r="X33" s="20"/>
      <c r="Y33" s="41"/>
    </row>
    <row r="34" spans="2:25" ht="21.4" x14ac:dyDescent="0.3">
      <c r="B34" s="42" t="s">
        <v>12</v>
      </c>
      <c r="C34" s="96" t="s">
        <v>27</v>
      </c>
      <c r="D34" s="96"/>
      <c r="E34" s="96"/>
      <c r="F34" s="96"/>
      <c r="G34" s="96"/>
      <c r="H34" s="96">
        <f>MIN(H22:L33)</f>
        <v>0</v>
      </c>
      <c r="I34" s="96"/>
      <c r="J34" s="96"/>
      <c r="K34" s="96"/>
      <c r="L34" s="97"/>
      <c r="O34" s="42" t="s">
        <v>12</v>
      </c>
      <c r="P34" s="96" t="s">
        <v>27</v>
      </c>
      <c r="Q34" s="96"/>
      <c r="R34" s="96"/>
      <c r="S34" s="96"/>
      <c r="T34" s="96"/>
      <c r="U34" s="96">
        <f>MIN(U22:Y33)</f>
        <v>0.4</v>
      </c>
      <c r="V34" s="96"/>
      <c r="W34" s="96"/>
      <c r="X34" s="96"/>
      <c r="Y34" s="97"/>
    </row>
    <row r="35" spans="2:25" ht="21.4" x14ac:dyDescent="0.3">
      <c r="B35" s="42" t="s">
        <v>11</v>
      </c>
      <c r="C35" s="96" t="s">
        <v>27</v>
      </c>
      <c r="D35" s="96"/>
      <c r="E35" s="96"/>
      <c r="F35" s="96"/>
      <c r="G35" s="96"/>
      <c r="H35" s="96">
        <f>MAX(H22:L33)</f>
        <v>0</v>
      </c>
      <c r="I35" s="96"/>
      <c r="J35" s="96"/>
      <c r="K35" s="96"/>
      <c r="L35" s="97"/>
      <c r="O35" s="42" t="s">
        <v>11</v>
      </c>
      <c r="P35" s="96" t="s">
        <v>27</v>
      </c>
      <c r="Q35" s="96"/>
      <c r="R35" s="96"/>
      <c r="S35" s="96"/>
      <c r="T35" s="96"/>
      <c r="U35" s="96">
        <f>MAX(U22:Y33)</f>
        <v>1.4</v>
      </c>
      <c r="V35" s="96"/>
      <c r="W35" s="96"/>
      <c r="X35" s="96"/>
      <c r="Y35" s="97"/>
    </row>
    <row r="36" spans="2:25" ht="21.4" x14ac:dyDescent="0.3">
      <c r="B36" s="42" t="s">
        <v>13</v>
      </c>
      <c r="C36" s="98" t="s">
        <v>27</v>
      </c>
      <c r="D36" s="99"/>
      <c r="E36" s="99"/>
      <c r="F36" s="99"/>
      <c r="G36" s="100"/>
      <c r="H36" s="96">
        <f>AVERAGE(H22:L33)</f>
        <v>0</v>
      </c>
      <c r="I36" s="96"/>
      <c r="J36" s="96"/>
      <c r="K36" s="96"/>
      <c r="L36" s="97"/>
      <c r="O36" s="42" t="s">
        <v>13</v>
      </c>
      <c r="P36" s="98" t="s">
        <v>27</v>
      </c>
      <c r="Q36" s="99"/>
      <c r="R36" s="99"/>
      <c r="S36" s="99"/>
      <c r="T36" s="100"/>
      <c r="U36" s="96">
        <f>AVERAGE(U22:Y33)</f>
        <v>0.82</v>
      </c>
      <c r="V36" s="96"/>
      <c r="W36" s="96"/>
      <c r="X36" s="96"/>
      <c r="Y36" s="97"/>
    </row>
    <row r="37" spans="2:25" ht="21.75" thickBot="1" x14ac:dyDescent="0.35">
      <c r="B37" s="43" t="s">
        <v>14</v>
      </c>
      <c r="C37" s="101"/>
      <c r="D37" s="102"/>
      <c r="E37" s="102"/>
      <c r="F37" s="102"/>
      <c r="G37" s="103"/>
      <c r="H37" s="104">
        <f>STDEV(H22:L33)</f>
        <v>0</v>
      </c>
      <c r="I37" s="104"/>
      <c r="J37" s="104"/>
      <c r="K37" s="104"/>
      <c r="L37" s="105"/>
      <c r="O37" s="43" t="s">
        <v>14</v>
      </c>
      <c r="P37" s="101"/>
      <c r="Q37" s="102"/>
      <c r="R37" s="102"/>
      <c r="S37" s="102"/>
      <c r="T37" s="103"/>
      <c r="U37" s="104">
        <f>STDEV(U22:Y33)</f>
        <v>0.36331804249169913</v>
      </c>
      <c r="V37" s="104"/>
      <c r="W37" s="104"/>
      <c r="X37" s="104"/>
      <c r="Y37" s="105"/>
    </row>
    <row r="38" spans="2:25" ht="13.9" thickTop="1" x14ac:dyDescent="0.3"/>
    <row r="39" spans="2:25" ht="21.4" x14ac:dyDescent="0.3">
      <c r="B39" s="19" t="s">
        <v>21</v>
      </c>
      <c r="C39" s="18"/>
      <c r="D39" s="18"/>
      <c r="E39" s="18"/>
      <c r="F39" s="18"/>
      <c r="G39" s="18"/>
      <c r="H39" s="18"/>
      <c r="I39" s="18" t="s">
        <v>22</v>
      </c>
      <c r="J39" s="18"/>
      <c r="K39" s="19" t="s">
        <v>23</v>
      </c>
      <c r="L39" s="19" t="s">
        <v>24</v>
      </c>
      <c r="O39" s="19" t="s">
        <v>21</v>
      </c>
      <c r="P39" s="18"/>
      <c r="Q39" s="18"/>
      <c r="R39" s="18"/>
      <c r="S39" s="18"/>
      <c r="T39" s="18"/>
      <c r="U39" s="18"/>
      <c r="V39" s="18" t="s">
        <v>22</v>
      </c>
      <c r="W39" s="18"/>
      <c r="X39" s="19" t="s">
        <v>23</v>
      </c>
      <c r="Y39" s="19" t="s">
        <v>24</v>
      </c>
    </row>
    <row r="40" spans="2:25" ht="21.4" x14ac:dyDescent="0.3">
      <c r="B40" s="18"/>
      <c r="C40" s="18"/>
      <c r="D40" s="18"/>
      <c r="E40" s="18"/>
      <c r="F40" s="18"/>
      <c r="G40" s="18"/>
      <c r="H40" s="18"/>
      <c r="I40" s="18"/>
      <c r="J40" s="18"/>
      <c r="K40" s="19" t="s">
        <v>25</v>
      </c>
      <c r="L40" s="19" t="s">
        <v>26</v>
      </c>
      <c r="O40" s="18"/>
      <c r="P40" s="18"/>
      <c r="Q40" s="18"/>
      <c r="R40" s="18"/>
      <c r="S40" s="18"/>
      <c r="T40" s="18"/>
      <c r="U40" s="18"/>
      <c r="V40" s="18"/>
      <c r="W40" s="18"/>
      <c r="X40" s="19" t="s">
        <v>25</v>
      </c>
      <c r="Y40" s="19" t="s">
        <v>26</v>
      </c>
    </row>
  </sheetData>
  <mergeCells count="80">
    <mergeCell ref="B1:D2"/>
    <mergeCell ref="E1:J1"/>
    <mergeCell ref="O1:Q2"/>
    <mergeCell ref="R1:W1"/>
    <mergeCell ref="E2:G2"/>
    <mergeCell ref="R2:T2"/>
    <mergeCell ref="B3:D3"/>
    <mergeCell ref="E3:G3"/>
    <mergeCell ref="O3:Q3"/>
    <mergeCell ref="R3:T3"/>
    <mergeCell ref="B4:D4"/>
    <mergeCell ref="O4:Q4"/>
    <mergeCell ref="B5:D5"/>
    <mergeCell ref="O5:Q5"/>
    <mergeCell ref="B6:D6"/>
    <mergeCell ref="O6:Q6"/>
    <mergeCell ref="B7:D7"/>
    <mergeCell ref="O7:Q7"/>
    <mergeCell ref="B8:D8"/>
    <mergeCell ref="K8:L8"/>
    <mergeCell ref="O8:Q8"/>
    <mergeCell ref="X8:Y8"/>
    <mergeCell ref="B9:D9"/>
    <mergeCell ref="K9:L9"/>
    <mergeCell ref="O9:Q9"/>
    <mergeCell ref="X9:Y9"/>
    <mergeCell ref="B10:H10"/>
    <mergeCell ref="I10:L10"/>
    <mergeCell ref="O10:U10"/>
    <mergeCell ref="V10:Y10"/>
    <mergeCell ref="B11:H11"/>
    <mergeCell ref="I11:L11"/>
    <mergeCell ref="O11:U11"/>
    <mergeCell ref="V11:Y11"/>
    <mergeCell ref="U12:W12"/>
    <mergeCell ref="X12:Y12"/>
    <mergeCell ref="B13:G13"/>
    <mergeCell ref="H13:L13"/>
    <mergeCell ref="O13:T13"/>
    <mergeCell ref="U13:Y13"/>
    <mergeCell ref="B12:D12"/>
    <mergeCell ref="E12:G12"/>
    <mergeCell ref="H12:J12"/>
    <mergeCell ref="K12:L12"/>
    <mergeCell ref="O12:Q12"/>
    <mergeCell ref="R12:T12"/>
    <mergeCell ref="B14:G14"/>
    <mergeCell ref="H14:L14"/>
    <mergeCell ref="O14:T14"/>
    <mergeCell ref="U14:Y14"/>
    <mergeCell ref="B15:G15"/>
    <mergeCell ref="H15:L15"/>
    <mergeCell ref="O15:T15"/>
    <mergeCell ref="U15:Y15"/>
    <mergeCell ref="B16:G16"/>
    <mergeCell ref="H16:L16"/>
    <mergeCell ref="O16:T16"/>
    <mergeCell ref="U16:Y16"/>
    <mergeCell ref="B17:G17"/>
    <mergeCell ref="H17:L17"/>
    <mergeCell ref="O17:T17"/>
    <mergeCell ref="U17:Y17"/>
    <mergeCell ref="B18:G18"/>
    <mergeCell ref="H18:L18"/>
    <mergeCell ref="O18:T18"/>
    <mergeCell ref="U18:Y18"/>
    <mergeCell ref="C34:G34"/>
    <mergeCell ref="H34:L34"/>
    <mergeCell ref="P34:T34"/>
    <mergeCell ref="U34:Y34"/>
    <mergeCell ref="C35:G35"/>
    <mergeCell ref="H35:L35"/>
    <mergeCell ref="P35:T35"/>
    <mergeCell ref="U35:Y35"/>
    <mergeCell ref="C36:G37"/>
    <mergeCell ref="H36:L36"/>
    <mergeCell ref="P36:T37"/>
    <mergeCell ref="U36:Y36"/>
    <mergeCell ref="H37:L37"/>
    <mergeCell ref="U37:Y3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Group 1</vt:lpstr>
      <vt:lpstr>Group 2</vt:lpstr>
      <vt:lpstr>Group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2026-10-01T00:58:43Z</dcterms:modified>
</cp:coreProperties>
</file>